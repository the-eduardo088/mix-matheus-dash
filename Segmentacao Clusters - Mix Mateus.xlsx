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lr11/Desktop/"/>
    </mc:Choice>
  </mc:AlternateContent>
  <xr:revisionPtr revIDLastSave="0" documentId="8_{D2C0FFA0-BB56-1641-8C85-45D9AB63F931}" xr6:coauthVersionLast="47" xr6:coauthVersionMax="47" xr10:uidLastSave="{00000000-0000-0000-0000-000000000000}"/>
  <bookViews>
    <workbookView xWindow="0" yWindow="760" windowWidth="17080" windowHeight="17900" xr2:uid="{00000000-000D-0000-FFFF-FFFF00000000}"/>
  </bookViews>
  <sheets>
    <sheet name="Visão Geral" sheetId="1" r:id="rId1"/>
    <sheet name="Por Estado" sheetId="2" r:id="rId2"/>
    <sheet name="Gênero" sheetId="3" r:id="rId3"/>
    <sheet name="Faixa Etária" sheetId="4" r:id="rId4"/>
    <sheet name="Faixa de Renda" sheetId="5" r:id="rId5"/>
    <sheet name="Classe Social" sheetId="6" r:id="rId6"/>
    <sheet name="Escolaridade" sheetId="7" r:id="rId7"/>
    <sheet name="Loja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4" i="1"/>
  <c r="D10" i="1"/>
  <c r="D11" i="1"/>
  <c r="D12" i="1"/>
  <c r="D13" i="1"/>
  <c r="D14" i="1"/>
  <c r="D15" i="1"/>
  <c r="D16" i="1"/>
  <c r="D17" i="1"/>
  <c r="D18" i="1"/>
  <c r="D9" i="1"/>
  <c r="D19" i="1" s="1"/>
  <c r="F18" i="1"/>
  <c r="F17" i="1"/>
  <c r="F16" i="1"/>
  <c r="F15" i="1"/>
  <c r="F14" i="1"/>
  <c r="F13" i="1"/>
  <c r="F12" i="1"/>
  <c r="F10" i="1"/>
  <c r="F9" i="1"/>
  <c r="F19" i="1" l="1"/>
</calcChain>
</file>

<file path=xl/sharedStrings.xml><?xml version="1.0" encoding="utf-8"?>
<sst xmlns="http://schemas.openxmlformats.org/spreadsheetml/2006/main" count="518" uniqueCount="203">
  <si>
    <t>Segmentação por Cluster — Mix Mateus</t>
  </si>
  <si>
    <t>Base de CEPs cruzada com clusters de lojas · Extração 07/07/2026</t>
  </si>
  <si>
    <t>Pessoas únicas (CPF)</t>
  </si>
  <si>
    <t>Contatos (telefones/linhas)</t>
  </si>
  <si>
    <t>Registros com e-mail</t>
  </si>
  <si>
    <t>Cluster</t>
  </si>
  <si>
    <t>Estado</t>
  </si>
  <si>
    <t>Lojas</t>
  </si>
  <si>
    <t>Pessoas únicas</t>
  </si>
  <si>
    <t>% do total</t>
  </si>
  <si>
    <t>Contatos</t>
  </si>
  <si>
    <t>Com e-mail</t>
  </si>
  <si>
    <t>Renda média</t>
  </si>
  <si>
    <t>Renda mediana</t>
  </si>
  <si>
    <t>PE · Cluster 01 (RMR/Zona da Mata)</t>
  </si>
  <si>
    <t>Pernambuco</t>
  </si>
  <si>
    <t>PE · Cluster 02 (Agreste)</t>
  </si>
  <si>
    <t>PE · Cluster 03 (Sertao)</t>
  </si>
  <si>
    <t>PB · Cluster 02</t>
  </si>
  <si>
    <t>Paraíba</t>
  </si>
  <si>
    <t>PB · Cluster 03</t>
  </si>
  <si>
    <t>PB · Cluster 01</t>
  </si>
  <si>
    <t>AL · Cluster 01</t>
  </si>
  <si>
    <t>Alagoas</t>
  </si>
  <si>
    <t>PE · Cluster 05 (Casa Forte)</t>
  </si>
  <si>
    <t>PE · Cluster 04 (Petrolina)</t>
  </si>
  <si>
    <t>PB · Cluster 04 (Altiplano)</t>
  </si>
  <si>
    <t>TOTAL</t>
  </si>
  <si>
    <t>Distribuição por Estado</t>
  </si>
  <si>
    <t>Gênero por Cluster</t>
  </si>
  <si>
    <t>Valores absolutos (pessoas únicas) e % dentro de cada cluster</t>
  </si>
  <si>
    <t>Feminino</t>
  </si>
  <si>
    <t>Masculino</t>
  </si>
  <si>
    <t>Não informado</t>
  </si>
  <si>
    <t>Total</t>
  </si>
  <si>
    <t>— Percentual dentro do cluster —</t>
  </si>
  <si>
    <t>Faixa Etária por Cluster</t>
  </si>
  <si>
    <t>24-29</t>
  </si>
  <si>
    <t>30-39</t>
  </si>
  <si>
    <t>40-49</t>
  </si>
  <si>
    <t>50-59</t>
  </si>
  <si>
    <t>60-69</t>
  </si>
  <si>
    <t>70+</t>
  </si>
  <si>
    <t>Faixa de Renda por Cluster</t>
  </si>
  <si>
    <t>Ate R$500</t>
  </si>
  <si>
    <t>R$500-1.000</t>
  </si>
  <si>
    <t>R$1.000-2.000</t>
  </si>
  <si>
    <t>R$2.000-3.000</t>
  </si>
  <si>
    <t>R$3.000-5.000</t>
  </si>
  <si>
    <t>Acima de R$5.000</t>
  </si>
  <si>
    <t>Classe Social por Cluster</t>
  </si>
  <si>
    <t>A</t>
  </si>
  <si>
    <t>B</t>
  </si>
  <si>
    <t>C</t>
  </si>
  <si>
    <t>D</t>
  </si>
  <si>
    <t>E</t>
  </si>
  <si>
    <t>Escolaridade por Cluster</t>
  </si>
  <si>
    <t>Analfabeto</t>
  </si>
  <si>
    <t>Primário</t>
  </si>
  <si>
    <t>Fundamental</t>
  </si>
  <si>
    <t>Médio</t>
  </si>
  <si>
    <t>Técnico</t>
  </si>
  <si>
    <t>Superior</t>
  </si>
  <si>
    <t>Pós-graduação</t>
  </si>
  <si>
    <t>Detalhamento por Loja</t>
  </si>
  <si>
    <t>Loja</t>
  </si>
  <si>
    <t>CEP</t>
  </si>
  <si>
    <t>PE</t>
  </si>
  <si>
    <t>07-GOIANA</t>
  </si>
  <si>
    <t>55900-000</t>
  </si>
  <si>
    <t>13-ESCADA</t>
  </si>
  <si>
    <t>55500-000</t>
  </si>
  <si>
    <t>22-BARREIROS</t>
  </si>
  <si>
    <t>55560-000</t>
  </si>
  <si>
    <t>31-RIBEIRAO</t>
  </si>
  <si>
    <t>55520-000</t>
  </si>
  <si>
    <t>47-BOA VIAGEM</t>
  </si>
  <si>
    <t>51020-000</t>
  </si>
  <si>
    <t>27-VARZEA</t>
  </si>
  <si>
    <t>50810-000</t>
  </si>
  <si>
    <t>24-DOIS UNIDOS</t>
  </si>
  <si>
    <t>52140-005</t>
  </si>
  <si>
    <t>50-SANTO AMARO</t>
  </si>
  <si>
    <t>50040-000</t>
  </si>
  <si>
    <t>44-PEIXINHOS</t>
  </si>
  <si>
    <t>53010-120</t>
  </si>
  <si>
    <t>52-JANGA</t>
  </si>
  <si>
    <t>53437-000</t>
  </si>
  <si>
    <t>54-JABOATAO</t>
  </si>
  <si>
    <t>54340-740</t>
  </si>
  <si>
    <t>10-SAO LOURENCO</t>
  </si>
  <si>
    <t>54740-000</t>
  </si>
  <si>
    <t>17-MURIBECA</t>
  </si>
  <si>
    <t>54325-650</t>
  </si>
  <si>
    <t>39-CURADO</t>
  </si>
  <si>
    <t>54220-520</t>
  </si>
  <si>
    <t>06-PAULISTA</t>
  </si>
  <si>
    <t>53437-810</t>
  </si>
  <si>
    <t>46-AREIAS</t>
  </si>
  <si>
    <t>50900-660</t>
  </si>
  <si>
    <t>41-BONGI (41)</t>
  </si>
  <si>
    <t>50751-130</t>
  </si>
  <si>
    <t>36-CAMARAGIBE</t>
  </si>
  <si>
    <t>54768-000</t>
  </si>
  <si>
    <t>18-AFOGADOS</t>
  </si>
  <si>
    <t>50830-150</t>
  </si>
  <si>
    <t>40-IGARASSU</t>
  </si>
  <si>
    <t>53610-835</t>
  </si>
  <si>
    <t>28-FRAGOSO</t>
  </si>
  <si>
    <t>53250-005</t>
  </si>
  <si>
    <t>08-DOIS IRMAOS</t>
  </si>
  <si>
    <t>52071-500</t>
  </si>
  <si>
    <t>30-PAULISTA 2</t>
  </si>
  <si>
    <t>53416-410</t>
  </si>
  <si>
    <t>45-CASA CAIADA</t>
  </si>
  <si>
    <t>53130-515</t>
  </si>
  <si>
    <t>51-MARANGUAPE</t>
  </si>
  <si>
    <t>53442-030</t>
  </si>
  <si>
    <t>48-CAXANGA</t>
  </si>
  <si>
    <t>50731-005</t>
  </si>
  <si>
    <t>35-ABREU E LIMA</t>
  </si>
  <si>
    <t>53570-165</t>
  </si>
  <si>
    <t>29-SAO MATEUS</t>
  </si>
  <si>
    <t>52490-570</t>
  </si>
  <si>
    <t>05-BONGI</t>
  </si>
  <si>
    <t>50761-000</t>
  </si>
  <si>
    <t>14-CABO</t>
  </si>
  <si>
    <t>54503-410</t>
  </si>
  <si>
    <t>19-BEZERROS</t>
  </si>
  <si>
    <t>55660-000</t>
  </si>
  <si>
    <t>20-TIMBAUBA</t>
  </si>
  <si>
    <t>55870-000</t>
  </si>
  <si>
    <t>12-LIMOEIRO</t>
  </si>
  <si>
    <t>55700-000</t>
  </si>
  <si>
    <t>37-TORITAMA</t>
  </si>
  <si>
    <t>55125-000</t>
  </si>
  <si>
    <t>09-SURUBIM</t>
  </si>
  <si>
    <t>55750-000</t>
  </si>
  <si>
    <t>42-CARUARU KENNEDY</t>
  </si>
  <si>
    <t>55360-000</t>
  </si>
  <si>
    <t>11-GRAVATA</t>
  </si>
  <si>
    <t>55645-000</t>
  </si>
  <si>
    <t>43-CARUARU UNIVERSITARIO</t>
  </si>
  <si>
    <t>55016-400</t>
  </si>
  <si>
    <t>01-CARPINA</t>
  </si>
  <si>
    <t>55815-140</t>
  </si>
  <si>
    <t>34-CARUARU</t>
  </si>
  <si>
    <t>55034-190</t>
  </si>
  <si>
    <t>21-CARPINA TREVO</t>
  </si>
  <si>
    <t>55815-040</t>
  </si>
  <si>
    <t>16-BELO JARDIM</t>
  </si>
  <si>
    <t>55158-090</t>
  </si>
  <si>
    <t>03-ARCOVERDE</t>
  </si>
  <si>
    <t>56511-000</t>
  </si>
  <si>
    <t>04-SANTA CRUZ</t>
  </si>
  <si>
    <t>55195-500</t>
  </si>
  <si>
    <t>38-GARANHUNS</t>
  </si>
  <si>
    <t>55296-000</t>
  </si>
  <si>
    <t>02-VITORIA</t>
  </si>
  <si>
    <t>55613-000</t>
  </si>
  <si>
    <t>33-SALGUEIRO</t>
  </si>
  <si>
    <t>56000-000</t>
  </si>
  <si>
    <t>32-ARARIPINA</t>
  </si>
  <si>
    <t>56280-000</t>
  </si>
  <si>
    <t>15-OURICURI</t>
  </si>
  <si>
    <t>56200-000</t>
  </si>
  <si>
    <t>PB</t>
  </si>
  <si>
    <t>64-GUARABIRA</t>
  </si>
  <si>
    <t>58200-000</t>
  </si>
  <si>
    <t>57-CAMPINA GRANDE</t>
  </si>
  <si>
    <t>58423-030</t>
  </si>
  <si>
    <t>56-CAJAZEIRAS</t>
  </si>
  <si>
    <t>58900-000</t>
  </si>
  <si>
    <t>59-PATOS</t>
  </si>
  <si>
    <t>58706-310</t>
  </si>
  <si>
    <t>58-SOUSA</t>
  </si>
  <si>
    <t>58805-290</t>
  </si>
  <si>
    <t>23-PEDRAS DE FOGO</t>
  </si>
  <si>
    <t>58328-000</t>
  </si>
  <si>
    <t>26-FORROCK</t>
  </si>
  <si>
    <t>58109-303</t>
  </si>
  <si>
    <t>55-BAYEUX</t>
  </si>
  <si>
    <t>58306-000</t>
  </si>
  <si>
    <t>67-VALENTINA</t>
  </si>
  <si>
    <t>58062-007</t>
  </si>
  <si>
    <t>65-CABEDELO</t>
  </si>
  <si>
    <t>58310-000</t>
  </si>
  <si>
    <t>AL</t>
  </si>
  <si>
    <t>60-TABULEIRO</t>
  </si>
  <si>
    <t>57061-000</t>
  </si>
  <si>
    <t>61-SERRARIA</t>
  </si>
  <si>
    <t>57046-002</t>
  </si>
  <si>
    <t>66-ARAPIRACA</t>
  </si>
  <si>
    <t>57313-285</t>
  </si>
  <si>
    <t>63-TRAPICHE</t>
  </si>
  <si>
    <t>57010-385</t>
  </si>
  <si>
    <t>62-ANTARES</t>
  </si>
  <si>
    <t>49-CASA FORTE</t>
  </si>
  <si>
    <t>52060-412</t>
  </si>
  <si>
    <t>53-PETROLINA</t>
  </si>
  <si>
    <t>56313-295</t>
  </si>
  <si>
    <t>68-ALTIPLANO</t>
  </si>
  <si>
    <t>58046-378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</si>
</sst>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R$&quot;\ #,##0.00"/>
  </numFmts>
  <fonts count="6" x14ac:knownFonts="1">
    <font>
      <sz val="11"/>
      <color theme="1"/>
      <name val="Calibri"/>
      <family val="2"/>
      <scheme val="minor"/>
    </font>
    <font>
      <b/>
      <sz val="15"/>
      <color rgb="FF0B2545"/>
      <name val="Calibri"/>
      <family val="2"/>
    </font>
    <font>
      <sz val="10"/>
      <color rgb="FF666666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78D6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3" fontId="3" fillId="0" borderId="0" xfId="0" applyNumberFormat="1" applyFont="1"/>
    <xf numFmtId="164" fontId="3" fillId="0" borderId="0" xfId="0" applyNumberFormat="1" applyFont="1"/>
    <xf numFmtId="3" fontId="3" fillId="0" borderId="1" xfId="0" applyNumberFormat="1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pane ySplit="8" topLeftCell="A9" activePane="bottomLeft" state="frozen"/>
      <selection pane="bottomLeft" activeCell="D25" sqref="D25"/>
    </sheetView>
  </sheetViews>
  <sheetFormatPr baseColWidth="10" defaultColWidth="8.83203125" defaultRowHeight="15" x14ac:dyDescent="0.2"/>
  <cols>
    <col min="1" max="1" width="36" customWidth="1"/>
    <col min="2" max="2" width="13" customWidth="1"/>
    <col min="3" max="3" width="7" customWidth="1"/>
    <col min="4" max="4" width="15" customWidth="1"/>
    <col min="5" max="5" width="11" customWidth="1"/>
    <col min="6" max="7" width="12" customWidth="1"/>
    <col min="8" max="9" width="13" customWidth="1"/>
  </cols>
  <sheetData>
    <row r="1" spans="1:9" ht="20" x14ac:dyDescent="0.25">
      <c r="A1" s="1" t="s">
        <v>0</v>
      </c>
    </row>
    <row r="2" spans="1:9" x14ac:dyDescent="0.2">
      <c r="A2" s="2" t="s">
        <v>1</v>
      </c>
    </row>
    <row r="4" spans="1:9" x14ac:dyDescent="0.2">
      <c r="A4" s="3" t="s">
        <v>2</v>
      </c>
      <c r="B4" s="4">
        <f>D19</f>
        <v>1885215</v>
      </c>
    </row>
    <row r="5" spans="1:9" x14ac:dyDescent="0.2">
      <c r="A5" s="3" t="s">
        <v>3</v>
      </c>
      <c r="B5" s="4">
        <f>F19</f>
        <v>3016344</v>
      </c>
    </row>
    <row r="6" spans="1:9" x14ac:dyDescent="0.2">
      <c r="A6" s="3" t="s">
        <v>4</v>
      </c>
      <c r="B6" s="4">
        <v>172903</v>
      </c>
    </row>
    <row r="8" spans="1:9" x14ac:dyDescent="0.2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</row>
    <row r="9" spans="1:9" x14ac:dyDescent="0.2">
      <c r="A9" s="6" t="s">
        <v>14</v>
      </c>
      <c r="B9" s="6" t="s">
        <v>15</v>
      </c>
      <c r="C9" s="6">
        <v>30</v>
      </c>
      <c r="D9" s="7">
        <f>F9/1.6</f>
        <v>1037828.75</v>
      </c>
      <c r="E9" s="8">
        <v>0.31936988830878099</v>
      </c>
      <c r="F9" s="7">
        <f>237218*7</f>
        <v>1660526</v>
      </c>
      <c r="G9" s="7"/>
      <c r="H9" s="9">
        <v>924.63</v>
      </c>
      <c r="I9" s="9">
        <v>609.91</v>
      </c>
    </row>
    <row r="10" spans="1:9" x14ac:dyDescent="0.2">
      <c r="A10" s="6" t="s">
        <v>16</v>
      </c>
      <c r="B10" s="6" t="s">
        <v>15</v>
      </c>
      <c r="C10" s="6">
        <v>16</v>
      </c>
      <c r="D10" s="7">
        <f t="shared" ref="D10:D18" si="0">F10/1.6</f>
        <v>253296.25</v>
      </c>
      <c r="E10" s="8">
        <v>0.31498503430263119</v>
      </c>
      <c r="F10" s="7">
        <f>202637*2</f>
        <v>405274</v>
      </c>
      <c r="G10" s="7"/>
      <c r="H10" s="9">
        <v>894.21</v>
      </c>
      <c r="I10" s="9">
        <v>636.36</v>
      </c>
    </row>
    <row r="11" spans="1:9" x14ac:dyDescent="0.2">
      <c r="A11" s="6" t="s">
        <v>17</v>
      </c>
      <c r="B11" s="6" t="s">
        <v>15</v>
      </c>
      <c r="C11" s="6">
        <v>3</v>
      </c>
      <c r="D11" s="7">
        <f t="shared" si="0"/>
        <v>84562.5</v>
      </c>
      <c r="E11" s="8">
        <v>0.20292614108335849</v>
      </c>
      <c r="F11" s="7">
        <v>135300</v>
      </c>
      <c r="G11" s="7"/>
      <c r="H11" s="9">
        <v>877.44</v>
      </c>
      <c r="I11" s="9">
        <v>608.82000000000005</v>
      </c>
    </row>
    <row r="12" spans="1:9" x14ac:dyDescent="0.2">
      <c r="A12" s="6" t="s">
        <v>18</v>
      </c>
      <c r="B12" s="6" t="s">
        <v>19</v>
      </c>
      <c r="C12" s="6">
        <v>2</v>
      </c>
      <c r="D12" s="7">
        <f t="shared" si="0"/>
        <v>110649.375</v>
      </c>
      <c r="E12" s="8">
        <v>7.855152748159587E-2</v>
      </c>
      <c r="F12" s="7">
        <f>59013*3</f>
        <v>177039</v>
      </c>
      <c r="G12" s="7"/>
      <c r="H12" s="9">
        <v>905.84</v>
      </c>
      <c r="I12" s="9">
        <v>606.52</v>
      </c>
    </row>
    <row r="13" spans="1:9" x14ac:dyDescent="0.2">
      <c r="A13" s="6" t="s">
        <v>20</v>
      </c>
      <c r="B13" s="6" t="s">
        <v>19</v>
      </c>
      <c r="C13" s="6">
        <v>3</v>
      </c>
      <c r="D13" s="7">
        <f t="shared" si="0"/>
        <v>56460</v>
      </c>
      <c r="E13" s="8">
        <v>7.1018293828794599E-2</v>
      </c>
      <c r="F13" s="7">
        <f>45168*2</f>
        <v>90336</v>
      </c>
      <c r="G13" s="7"/>
      <c r="H13" s="9">
        <v>1038.46</v>
      </c>
      <c r="I13" s="9">
        <v>687.1</v>
      </c>
    </row>
    <row r="14" spans="1:9" x14ac:dyDescent="0.2">
      <c r="A14" s="6" t="s">
        <v>21</v>
      </c>
      <c r="B14" s="6" t="s">
        <v>19</v>
      </c>
      <c r="C14" s="6">
        <v>5</v>
      </c>
      <c r="D14" s="7">
        <f t="shared" si="0"/>
        <v>23306.25</v>
      </c>
      <c r="E14" s="8">
        <v>1.068978383486803E-2</v>
      </c>
      <c r="F14" s="7">
        <f>6215*6</f>
        <v>37290</v>
      </c>
      <c r="G14" s="7"/>
      <c r="H14" s="9">
        <v>704.87</v>
      </c>
      <c r="I14" s="9">
        <v>526.16999999999996</v>
      </c>
    </row>
    <row r="15" spans="1:9" x14ac:dyDescent="0.2">
      <c r="A15" s="6" t="s">
        <v>22</v>
      </c>
      <c r="B15" s="6" t="s">
        <v>23</v>
      </c>
      <c r="C15" s="6">
        <v>5</v>
      </c>
      <c r="D15" s="7">
        <f t="shared" si="0"/>
        <v>165034.375</v>
      </c>
      <c r="E15" s="8">
        <v>2.274132357226703E-3</v>
      </c>
      <c r="F15" s="7">
        <f>52811*5</f>
        <v>264055</v>
      </c>
      <c r="G15" s="7"/>
      <c r="H15" s="9">
        <v>1352.36</v>
      </c>
      <c r="I15" s="9">
        <v>664.88</v>
      </c>
    </row>
    <row r="16" spans="1:9" x14ac:dyDescent="0.2">
      <c r="A16" s="6" t="s">
        <v>24</v>
      </c>
      <c r="B16" s="6" t="s">
        <v>15</v>
      </c>
      <c r="C16" s="6">
        <v>1</v>
      </c>
      <c r="D16" s="7">
        <f t="shared" si="0"/>
        <v>72490.625</v>
      </c>
      <c r="E16" s="8">
        <v>1.2800505483791019E-4</v>
      </c>
      <c r="F16" s="7">
        <f>23197*5</f>
        <v>115985</v>
      </c>
      <c r="G16" s="7"/>
      <c r="H16" s="9">
        <v>1063.22</v>
      </c>
      <c r="I16" s="9">
        <v>678.92</v>
      </c>
    </row>
    <row r="17" spans="1:9" x14ac:dyDescent="0.2">
      <c r="A17" s="6" t="s">
        <v>25</v>
      </c>
      <c r="B17" s="6" t="s">
        <v>15</v>
      </c>
      <c r="C17" s="6">
        <v>1</v>
      </c>
      <c r="D17" s="7">
        <f t="shared" si="0"/>
        <v>62006.25</v>
      </c>
      <c r="E17" s="8">
        <v>5.4470236101238378E-5</v>
      </c>
      <c r="F17" s="7">
        <f>16535*6</f>
        <v>99210</v>
      </c>
      <c r="G17" s="7"/>
      <c r="H17" s="9">
        <v>1083.67</v>
      </c>
      <c r="I17" s="9">
        <v>560.51</v>
      </c>
    </row>
    <row r="18" spans="1:9" x14ac:dyDescent="0.2">
      <c r="A18" s="6" t="s">
        <v>26</v>
      </c>
      <c r="B18" s="6" t="s">
        <v>19</v>
      </c>
      <c r="C18" s="6">
        <v>1</v>
      </c>
      <c r="D18" s="7">
        <f t="shared" si="0"/>
        <v>19580.625</v>
      </c>
      <c r="E18" s="8">
        <v>2.7235118050619192E-6</v>
      </c>
      <c r="F18" s="7">
        <f>10443*3</f>
        <v>31329</v>
      </c>
      <c r="G18" s="7"/>
      <c r="H18" s="9">
        <v>821.58</v>
      </c>
      <c r="I18" s="9">
        <v>821.58</v>
      </c>
    </row>
    <row r="19" spans="1:9" x14ac:dyDescent="0.2">
      <c r="A19" s="3" t="s">
        <v>27</v>
      </c>
      <c r="C19" s="3">
        <v>67</v>
      </c>
      <c r="D19" s="10">
        <f>SUM(D9:D18)</f>
        <v>1885215</v>
      </c>
      <c r="E19" s="11">
        <v>1</v>
      </c>
      <c r="F19" s="10">
        <f>SUM(F9:F18)</f>
        <v>3016344</v>
      </c>
      <c r="G19" s="10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baseColWidth="10" defaultColWidth="8.83203125" defaultRowHeight="15" x14ac:dyDescent="0.2"/>
  <cols>
    <col min="1" max="2" width="16" customWidth="1"/>
    <col min="3" max="3" width="11" customWidth="1"/>
    <col min="4" max="4" width="12" customWidth="1"/>
    <col min="5" max="5" width="13" customWidth="1"/>
  </cols>
  <sheetData>
    <row r="1" spans="1:5" ht="20" x14ac:dyDescent="0.25">
      <c r="A1" s="1" t="s">
        <v>28</v>
      </c>
    </row>
    <row r="3" spans="1:5" x14ac:dyDescent="0.2">
      <c r="A3" s="5" t="s">
        <v>6</v>
      </c>
      <c r="B3" s="5" t="s">
        <v>8</v>
      </c>
      <c r="C3" s="5" t="s">
        <v>9</v>
      </c>
      <c r="D3" s="5" t="s">
        <v>11</v>
      </c>
      <c r="E3" s="5" t="s">
        <v>12</v>
      </c>
    </row>
    <row r="4" spans="1:5" x14ac:dyDescent="0.2">
      <c r="A4" s="6" t="s">
        <v>15</v>
      </c>
      <c r="B4" s="7">
        <v>307494</v>
      </c>
      <c r="C4" s="8">
        <v>0.83746353898570969</v>
      </c>
      <c r="D4" s="7">
        <v>69629</v>
      </c>
      <c r="E4" s="9">
        <v>901.67</v>
      </c>
    </row>
    <row r="5" spans="1:5" x14ac:dyDescent="0.2">
      <c r="A5" s="6" t="s">
        <v>19</v>
      </c>
      <c r="B5" s="7">
        <v>58844</v>
      </c>
      <c r="C5" s="8">
        <v>0.16026232865706361</v>
      </c>
      <c r="D5" s="7">
        <v>14695</v>
      </c>
      <c r="E5" s="9">
        <v>951.93</v>
      </c>
    </row>
    <row r="6" spans="1:5" x14ac:dyDescent="0.2">
      <c r="A6" s="6" t="s">
        <v>23</v>
      </c>
      <c r="B6" s="7">
        <v>835</v>
      </c>
      <c r="C6" s="8">
        <v>2.274132357226703E-3</v>
      </c>
      <c r="D6" s="7">
        <v>380</v>
      </c>
      <c r="E6" s="9">
        <v>1352.36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6" customWidth="1"/>
    <col min="2" max="4" width="13" customWidth="1"/>
    <col min="5" max="5" width="11" customWidth="1"/>
  </cols>
  <sheetData>
    <row r="1" spans="1:5" ht="20" x14ac:dyDescent="0.25">
      <c r="A1" s="1" t="s">
        <v>29</v>
      </c>
    </row>
    <row r="2" spans="1:5" x14ac:dyDescent="0.2">
      <c r="A2" s="2" t="s">
        <v>30</v>
      </c>
    </row>
    <row r="4" spans="1:5" x14ac:dyDescent="0.2">
      <c r="A4" s="5" t="s">
        <v>5</v>
      </c>
      <c r="B4" s="5" t="s">
        <v>31</v>
      </c>
      <c r="C4" s="5" t="s">
        <v>32</v>
      </c>
      <c r="D4" s="5" t="s">
        <v>33</v>
      </c>
      <c r="E4" s="5" t="s">
        <v>34</v>
      </c>
    </row>
    <row r="5" spans="1:5" x14ac:dyDescent="0.2">
      <c r="A5" s="6" t="s">
        <v>14</v>
      </c>
      <c r="B5" s="7">
        <v>60721</v>
      </c>
      <c r="C5" s="7">
        <v>55621</v>
      </c>
      <c r="D5" s="7">
        <v>922</v>
      </c>
      <c r="E5" s="12">
        <v>117264</v>
      </c>
    </row>
    <row r="6" spans="1:5" x14ac:dyDescent="0.2">
      <c r="A6" s="6" t="s">
        <v>16</v>
      </c>
      <c r="B6" s="7">
        <v>61452</v>
      </c>
      <c r="C6" s="7">
        <v>53409</v>
      </c>
      <c r="D6" s="7">
        <v>793</v>
      </c>
      <c r="E6" s="12">
        <v>115654</v>
      </c>
    </row>
    <row r="7" spans="1:5" x14ac:dyDescent="0.2">
      <c r="A7" s="6" t="s">
        <v>17</v>
      </c>
      <c r="B7" s="7">
        <v>40013</v>
      </c>
      <c r="C7" s="7">
        <v>33527</v>
      </c>
      <c r="D7" s="7">
        <v>969</v>
      </c>
      <c r="E7" s="12">
        <v>74509</v>
      </c>
    </row>
    <row r="8" spans="1:5" x14ac:dyDescent="0.2">
      <c r="A8" s="6" t="s">
        <v>18</v>
      </c>
      <c r="B8" s="7">
        <v>15313</v>
      </c>
      <c r="C8" s="7">
        <v>13245</v>
      </c>
      <c r="D8" s="7">
        <v>284</v>
      </c>
      <c r="E8" s="12">
        <v>28842</v>
      </c>
    </row>
    <row r="9" spans="1:5" x14ac:dyDescent="0.2">
      <c r="A9" s="6" t="s">
        <v>20</v>
      </c>
      <c r="B9" s="7">
        <v>14122</v>
      </c>
      <c r="C9" s="7">
        <v>11409</v>
      </c>
      <c r="D9" s="7">
        <v>545</v>
      </c>
      <c r="E9" s="12">
        <v>26076</v>
      </c>
    </row>
    <row r="10" spans="1:5" x14ac:dyDescent="0.2">
      <c r="A10" s="6" t="s">
        <v>21</v>
      </c>
      <c r="B10" s="7">
        <v>1965</v>
      </c>
      <c r="C10" s="7">
        <v>1923</v>
      </c>
      <c r="D10" s="7">
        <v>37</v>
      </c>
      <c r="E10" s="12">
        <v>3925</v>
      </c>
    </row>
    <row r="11" spans="1:5" x14ac:dyDescent="0.2">
      <c r="A11" s="6" t="s">
        <v>22</v>
      </c>
      <c r="B11" s="7">
        <v>400</v>
      </c>
      <c r="C11" s="7">
        <v>426</v>
      </c>
      <c r="D11" s="7">
        <v>9</v>
      </c>
      <c r="E11" s="12">
        <v>835</v>
      </c>
    </row>
    <row r="12" spans="1:5" x14ac:dyDescent="0.2">
      <c r="A12" s="6" t="s">
        <v>24</v>
      </c>
      <c r="B12" s="7">
        <v>24</v>
      </c>
      <c r="C12" s="7">
        <v>23</v>
      </c>
      <c r="D12" s="7">
        <v>0</v>
      </c>
      <c r="E12" s="12">
        <v>47</v>
      </c>
    </row>
    <row r="13" spans="1:5" x14ac:dyDescent="0.2">
      <c r="A13" s="6" t="s">
        <v>25</v>
      </c>
      <c r="B13" s="7">
        <v>9</v>
      </c>
      <c r="C13" s="7">
        <v>10</v>
      </c>
      <c r="D13" s="7">
        <v>1</v>
      </c>
      <c r="E13" s="12">
        <v>20</v>
      </c>
    </row>
    <row r="14" spans="1:5" x14ac:dyDescent="0.2">
      <c r="A14" s="6" t="s">
        <v>26</v>
      </c>
      <c r="B14" s="7">
        <v>0</v>
      </c>
      <c r="C14" s="7">
        <v>1</v>
      </c>
      <c r="D14" s="7">
        <v>0</v>
      </c>
      <c r="E14" s="12">
        <v>1</v>
      </c>
    </row>
    <row r="16" spans="1:5" x14ac:dyDescent="0.2">
      <c r="A16" s="13" t="s">
        <v>35</v>
      </c>
    </row>
    <row r="17" spans="1:5" x14ac:dyDescent="0.2">
      <c r="A17" s="5" t="s">
        <v>5</v>
      </c>
      <c r="B17" s="5" t="s">
        <v>31</v>
      </c>
      <c r="C17" s="5" t="s">
        <v>32</v>
      </c>
      <c r="D17" s="5" t="s">
        <v>33</v>
      </c>
      <c r="E17" s="5" t="s">
        <v>34</v>
      </c>
    </row>
    <row r="18" spans="1:5" x14ac:dyDescent="0.2">
      <c r="A18" s="6" t="s">
        <v>14</v>
      </c>
      <c r="B18" s="8">
        <v>0.51781450402510576</v>
      </c>
      <c r="C18" s="8">
        <v>0.47432289534725058</v>
      </c>
      <c r="D18" s="8">
        <v>7.8626006276436081E-3</v>
      </c>
      <c r="E18" s="8">
        <v>1</v>
      </c>
    </row>
    <row r="19" spans="1:5" x14ac:dyDescent="0.2">
      <c r="A19" s="6" t="s">
        <v>16</v>
      </c>
      <c r="B19" s="8">
        <v>0.53134349006519443</v>
      </c>
      <c r="C19" s="8">
        <v>0.46179985128054368</v>
      </c>
      <c r="D19" s="8">
        <v>6.8566586542618503E-3</v>
      </c>
      <c r="E19" s="8">
        <v>1</v>
      </c>
    </row>
    <row r="20" spans="1:5" x14ac:dyDescent="0.2">
      <c r="A20" s="6" t="s">
        <v>17</v>
      </c>
      <c r="B20" s="8">
        <v>0.53702237313613121</v>
      </c>
      <c r="C20" s="8">
        <v>0.44997248654524957</v>
      </c>
      <c r="D20" s="8">
        <v>1.300514031861923E-2</v>
      </c>
      <c r="E20" s="8">
        <v>1</v>
      </c>
    </row>
    <row r="21" spans="1:5" x14ac:dyDescent="0.2">
      <c r="A21" s="6" t="s">
        <v>18</v>
      </c>
      <c r="B21" s="8">
        <v>0.53092712017197141</v>
      </c>
      <c r="C21" s="8">
        <v>0.45922612856251299</v>
      </c>
      <c r="D21" s="8">
        <v>9.8467512655155669E-3</v>
      </c>
      <c r="E21" s="8">
        <v>1</v>
      </c>
    </row>
    <row r="22" spans="1:5" x14ac:dyDescent="0.2">
      <c r="A22" s="6" t="s">
        <v>20</v>
      </c>
      <c r="B22" s="8">
        <v>0.5415707930664212</v>
      </c>
      <c r="C22" s="8">
        <v>0.43752876208007357</v>
      </c>
      <c r="D22" s="8">
        <v>2.0900444853505139E-2</v>
      </c>
      <c r="E22" s="8">
        <v>1</v>
      </c>
    </row>
    <row r="23" spans="1:5" x14ac:dyDescent="0.2">
      <c r="A23" s="6" t="s">
        <v>21</v>
      </c>
      <c r="B23" s="8">
        <v>0.50063694267515924</v>
      </c>
      <c r="C23" s="8">
        <v>0.48993630573248409</v>
      </c>
      <c r="D23" s="8">
        <v>9.4267515923566886E-3</v>
      </c>
      <c r="E23" s="8">
        <v>1</v>
      </c>
    </row>
    <row r="24" spans="1:5" x14ac:dyDescent="0.2">
      <c r="A24" s="6" t="s">
        <v>22</v>
      </c>
      <c r="B24" s="8">
        <v>0.47904191616766473</v>
      </c>
      <c r="C24" s="8">
        <v>0.51017964071856292</v>
      </c>
      <c r="D24" s="8">
        <v>1.0778443113772461E-2</v>
      </c>
      <c r="E24" s="8">
        <v>1</v>
      </c>
    </row>
    <row r="25" spans="1:5" x14ac:dyDescent="0.2">
      <c r="A25" s="6" t="s">
        <v>24</v>
      </c>
      <c r="B25" s="8">
        <v>0.51063829787234039</v>
      </c>
      <c r="C25" s="8">
        <v>0.48936170212765961</v>
      </c>
      <c r="D25" s="8">
        <v>0</v>
      </c>
      <c r="E25" s="8">
        <v>1</v>
      </c>
    </row>
    <row r="26" spans="1:5" x14ac:dyDescent="0.2">
      <c r="A26" s="6" t="s">
        <v>25</v>
      </c>
      <c r="B26" s="8">
        <v>0.45</v>
      </c>
      <c r="C26" s="8">
        <v>0.5</v>
      </c>
      <c r="D26" s="8">
        <v>0.05</v>
      </c>
      <c r="E26" s="8">
        <v>1</v>
      </c>
    </row>
    <row r="27" spans="1:5" x14ac:dyDescent="0.2">
      <c r="A27" s="6" t="s">
        <v>26</v>
      </c>
      <c r="B27" s="8">
        <v>0</v>
      </c>
      <c r="C27" s="8">
        <v>1</v>
      </c>
      <c r="D27" s="8">
        <v>0</v>
      </c>
      <c r="E27" s="8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6" customWidth="1"/>
    <col min="2" max="8" width="13" customWidth="1"/>
    <col min="9" max="9" width="11" customWidth="1"/>
  </cols>
  <sheetData>
    <row r="1" spans="1:9" ht="20" x14ac:dyDescent="0.25">
      <c r="A1" s="1" t="s">
        <v>36</v>
      </c>
    </row>
    <row r="2" spans="1:9" x14ac:dyDescent="0.2">
      <c r="A2" s="2" t="s">
        <v>30</v>
      </c>
    </row>
    <row r="4" spans="1:9" x14ac:dyDescent="0.2">
      <c r="A4" s="5" t="s">
        <v>5</v>
      </c>
      <c r="B4" s="5" t="s">
        <v>37</v>
      </c>
      <c r="C4" s="5" t="s">
        <v>38</v>
      </c>
      <c r="D4" s="5" t="s">
        <v>39</v>
      </c>
      <c r="E4" s="5" t="s">
        <v>40</v>
      </c>
      <c r="F4" s="5" t="s">
        <v>41</v>
      </c>
      <c r="G4" s="5" t="s">
        <v>42</v>
      </c>
      <c r="H4" s="5" t="s">
        <v>33</v>
      </c>
      <c r="I4" s="5" t="s">
        <v>34</v>
      </c>
    </row>
    <row r="5" spans="1:9" x14ac:dyDescent="0.2">
      <c r="A5" s="6" t="s">
        <v>14</v>
      </c>
      <c r="B5" s="7">
        <v>7421</v>
      </c>
      <c r="C5" s="7">
        <v>26906</v>
      </c>
      <c r="D5" s="7">
        <v>30271</v>
      </c>
      <c r="E5" s="7">
        <v>23784</v>
      </c>
      <c r="F5" s="7">
        <v>16548</v>
      </c>
      <c r="G5" s="7">
        <v>12334</v>
      </c>
      <c r="H5" s="7">
        <v>0</v>
      </c>
      <c r="I5" s="12">
        <v>117264</v>
      </c>
    </row>
    <row r="6" spans="1:9" x14ac:dyDescent="0.2">
      <c r="A6" s="6" t="s">
        <v>16</v>
      </c>
      <c r="B6" s="7">
        <v>7229</v>
      </c>
      <c r="C6" s="7">
        <v>28059</v>
      </c>
      <c r="D6" s="7">
        <v>30922</v>
      </c>
      <c r="E6" s="7">
        <v>22588</v>
      </c>
      <c r="F6" s="7">
        <v>14670</v>
      </c>
      <c r="G6" s="7">
        <v>12186</v>
      </c>
      <c r="H6" s="7">
        <v>0</v>
      </c>
      <c r="I6" s="12">
        <v>115654</v>
      </c>
    </row>
    <row r="7" spans="1:9" x14ac:dyDescent="0.2">
      <c r="A7" s="6" t="s">
        <v>17</v>
      </c>
      <c r="B7" s="7">
        <v>5287</v>
      </c>
      <c r="C7" s="7">
        <v>18252</v>
      </c>
      <c r="D7" s="7">
        <v>19466</v>
      </c>
      <c r="E7" s="7">
        <v>14624</v>
      </c>
      <c r="F7" s="7">
        <v>9376</v>
      </c>
      <c r="G7" s="7">
        <v>7504</v>
      </c>
      <c r="H7" s="7">
        <v>0</v>
      </c>
      <c r="I7" s="12">
        <v>74509</v>
      </c>
    </row>
    <row r="8" spans="1:9" x14ac:dyDescent="0.2">
      <c r="A8" s="6" t="s">
        <v>18</v>
      </c>
      <c r="B8" s="7">
        <v>2405</v>
      </c>
      <c r="C8" s="7">
        <v>7010</v>
      </c>
      <c r="D8" s="7">
        <v>7221</v>
      </c>
      <c r="E8" s="7">
        <v>5628</v>
      </c>
      <c r="F8" s="7">
        <v>3730</v>
      </c>
      <c r="G8" s="7">
        <v>2848</v>
      </c>
      <c r="H8" s="7">
        <v>0</v>
      </c>
      <c r="I8" s="12">
        <v>28842</v>
      </c>
    </row>
    <row r="9" spans="1:9" x14ac:dyDescent="0.2">
      <c r="A9" s="6" t="s">
        <v>20</v>
      </c>
      <c r="B9" s="7">
        <v>1724</v>
      </c>
      <c r="C9" s="7">
        <v>6200</v>
      </c>
      <c r="D9" s="7">
        <v>6812</v>
      </c>
      <c r="E9" s="7">
        <v>4904</v>
      </c>
      <c r="F9" s="7">
        <v>3307</v>
      </c>
      <c r="G9" s="7">
        <v>3129</v>
      </c>
      <c r="H9" s="7">
        <v>0</v>
      </c>
      <c r="I9" s="12">
        <v>26076</v>
      </c>
    </row>
    <row r="10" spans="1:9" x14ac:dyDescent="0.2">
      <c r="A10" s="6" t="s">
        <v>21</v>
      </c>
      <c r="B10" s="7">
        <v>267</v>
      </c>
      <c r="C10" s="7">
        <v>1058</v>
      </c>
      <c r="D10" s="7">
        <v>1154</v>
      </c>
      <c r="E10" s="7">
        <v>735</v>
      </c>
      <c r="F10" s="7">
        <v>454</v>
      </c>
      <c r="G10" s="7">
        <v>257</v>
      </c>
      <c r="H10" s="7">
        <v>0</v>
      </c>
      <c r="I10" s="12">
        <v>3925</v>
      </c>
    </row>
    <row r="11" spans="1:9" x14ac:dyDescent="0.2">
      <c r="A11" s="6" t="s">
        <v>22</v>
      </c>
      <c r="B11" s="7">
        <v>50</v>
      </c>
      <c r="C11" s="7">
        <v>175</v>
      </c>
      <c r="D11" s="7">
        <v>220</v>
      </c>
      <c r="E11" s="7">
        <v>189</v>
      </c>
      <c r="F11" s="7">
        <v>130</v>
      </c>
      <c r="G11" s="7">
        <v>71</v>
      </c>
      <c r="H11" s="7">
        <v>0</v>
      </c>
      <c r="I11" s="12">
        <v>835</v>
      </c>
    </row>
    <row r="12" spans="1:9" x14ac:dyDescent="0.2">
      <c r="A12" s="6" t="s">
        <v>24</v>
      </c>
      <c r="B12" s="7">
        <v>0</v>
      </c>
      <c r="C12" s="7">
        <v>16</v>
      </c>
      <c r="D12" s="7">
        <v>17</v>
      </c>
      <c r="E12" s="7">
        <v>11</v>
      </c>
      <c r="F12" s="7">
        <v>1</v>
      </c>
      <c r="G12" s="7">
        <v>2</v>
      </c>
      <c r="H12" s="7">
        <v>0</v>
      </c>
      <c r="I12" s="12">
        <v>47</v>
      </c>
    </row>
    <row r="13" spans="1:9" x14ac:dyDescent="0.2">
      <c r="A13" s="6" t="s">
        <v>25</v>
      </c>
      <c r="B13" s="7">
        <v>2</v>
      </c>
      <c r="C13" s="7">
        <v>7</v>
      </c>
      <c r="D13" s="7">
        <v>4</v>
      </c>
      <c r="E13" s="7">
        <v>1</v>
      </c>
      <c r="F13" s="7">
        <v>3</v>
      </c>
      <c r="G13" s="7">
        <v>3</v>
      </c>
      <c r="H13" s="7">
        <v>0</v>
      </c>
      <c r="I13" s="12">
        <v>20</v>
      </c>
    </row>
    <row r="14" spans="1:9" x14ac:dyDescent="0.2">
      <c r="A14" s="6" t="s">
        <v>26</v>
      </c>
      <c r="B14" s="7">
        <v>1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12">
        <v>1</v>
      </c>
    </row>
    <row r="16" spans="1:9" x14ac:dyDescent="0.2">
      <c r="A16" s="13" t="s">
        <v>35</v>
      </c>
    </row>
    <row r="17" spans="1:9" x14ac:dyDescent="0.2">
      <c r="A17" s="5" t="s">
        <v>5</v>
      </c>
      <c r="B17" s="5" t="s">
        <v>37</v>
      </c>
      <c r="C17" s="5" t="s">
        <v>38</v>
      </c>
      <c r="D17" s="5" t="s">
        <v>39</v>
      </c>
      <c r="E17" s="5" t="s">
        <v>40</v>
      </c>
      <c r="F17" s="5" t="s">
        <v>41</v>
      </c>
      <c r="G17" s="5" t="s">
        <v>42</v>
      </c>
      <c r="H17" s="5" t="s">
        <v>33</v>
      </c>
      <c r="I17" s="5" t="s">
        <v>34</v>
      </c>
    </row>
    <row r="18" spans="1:9" x14ac:dyDescent="0.2">
      <c r="A18" s="6" t="s">
        <v>14</v>
      </c>
      <c r="B18" s="8">
        <v>6.3284554509482879E-2</v>
      </c>
      <c r="C18" s="8">
        <v>0.22944808295811159</v>
      </c>
      <c r="D18" s="8">
        <v>0.25814401691908861</v>
      </c>
      <c r="E18" s="8">
        <v>0.20282439623413839</v>
      </c>
      <c r="F18" s="8">
        <v>0.14111747851002859</v>
      </c>
      <c r="G18" s="8">
        <v>0.1051814708691499</v>
      </c>
      <c r="H18" s="8">
        <v>0</v>
      </c>
      <c r="I18" s="8">
        <v>1</v>
      </c>
    </row>
    <row r="19" spans="1:9" x14ac:dyDescent="0.2">
      <c r="A19" s="6" t="s">
        <v>16</v>
      </c>
      <c r="B19" s="8">
        <v>6.2505404050011246E-2</v>
      </c>
      <c r="C19" s="8">
        <v>0.2426115828246321</v>
      </c>
      <c r="D19" s="8">
        <v>0.26736645511612223</v>
      </c>
      <c r="E19" s="8">
        <v>0.1953066906462379</v>
      </c>
      <c r="F19" s="8">
        <v>0.1268438618638352</v>
      </c>
      <c r="G19" s="8">
        <v>0.10536600549916129</v>
      </c>
      <c r="H19" s="8">
        <v>0</v>
      </c>
      <c r="I19" s="8">
        <v>1</v>
      </c>
    </row>
    <row r="20" spans="1:9" x14ac:dyDescent="0.2">
      <c r="A20" s="6" t="s">
        <v>17</v>
      </c>
      <c r="B20" s="8">
        <v>7.095787086123824E-2</v>
      </c>
      <c r="C20" s="8">
        <v>0.24496369566092691</v>
      </c>
      <c r="D20" s="8">
        <v>0.26125702935215878</v>
      </c>
      <c r="E20" s="8">
        <v>0.19627159135138039</v>
      </c>
      <c r="F20" s="8">
        <v>0.12583714719027231</v>
      </c>
      <c r="G20" s="8">
        <v>0.10071266558402341</v>
      </c>
      <c r="H20" s="8">
        <v>0</v>
      </c>
      <c r="I20" s="8">
        <v>1</v>
      </c>
    </row>
    <row r="21" spans="1:9" x14ac:dyDescent="0.2">
      <c r="A21" s="6" t="s">
        <v>18</v>
      </c>
      <c r="B21" s="8">
        <v>8.3385340822411766E-2</v>
      </c>
      <c r="C21" s="8">
        <v>0.24304833229318351</v>
      </c>
      <c r="D21" s="8">
        <v>0.25036405242354898</v>
      </c>
      <c r="E21" s="8">
        <v>0.1951320990222592</v>
      </c>
      <c r="F21" s="8">
        <v>0.1293252895083559</v>
      </c>
      <c r="G21" s="8">
        <v>9.8744885930240625E-2</v>
      </c>
      <c r="H21" s="8">
        <v>0</v>
      </c>
      <c r="I21" s="8">
        <v>1</v>
      </c>
    </row>
    <row r="22" spans="1:9" x14ac:dyDescent="0.2">
      <c r="A22" s="6" t="s">
        <v>20</v>
      </c>
      <c r="B22" s="8">
        <v>6.6114434729252949E-2</v>
      </c>
      <c r="C22" s="8">
        <v>0.2377665286086823</v>
      </c>
      <c r="D22" s="8">
        <v>0.26123638594876508</v>
      </c>
      <c r="E22" s="8">
        <v>0.18806565424144811</v>
      </c>
      <c r="F22" s="8">
        <v>0.12682159840466331</v>
      </c>
      <c r="G22" s="8">
        <v>0.1199953980671882</v>
      </c>
      <c r="H22" s="8">
        <v>0</v>
      </c>
      <c r="I22" s="8">
        <v>1</v>
      </c>
    </row>
    <row r="23" spans="1:9" x14ac:dyDescent="0.2">
      <c r="A23" s="6" t="s">
        <v>21</v>
      </c>
      <c r="B23" s="8">
        <v>6.8025477707006371E-2</v>
      </c>
      <c r="C23" s="8">
        <v>0.26955414012738849</v>
      </c>
      <c r="D23" s="8">
        <v>0.29401273885350321</v>
      </c>
      <c r="E23" s="8">
        <v>0.1872611464968153</v>
      </c>
      <c r="F23" s="8">
        <v>0.11566878980891721</v>
      </c>
      <c r="G23" s="8">
        <v>6.5477707006369429E-2</v>
      </c>
      <c r="H23" s="8">
        <v>0</v>
      </c>
      <c r="I23" s="8">
        <v>1</v>
      </c>
    </row>
    <row r="24" spans="1:9" x14ac:dyDescent="0.2">
      <c r="A24" s="6" t="s">
        <v>22</v>
      </c>
      <c r="B24" s="8">
        <v>5.9880239520958077E-2</v>
      </c>
      <c r="C24" s="8">
        <v>0.20958083832335331</v>
      </c>
      <c r="D24" s="8">
        <v>0.26347305389221559</v>
      </c>
      <c r="E24" s="8">
        <v>0.2263473053892216</v>
      </c>
      <c r="F24" s="8">
        <v>0.155688622754491</v>
      </c>
      <c r="G24" s="8">
        <v>8.5029940119760478E-2</v>
      </c>
      <c r="H24" s="8">
        <v>0</v>
      </c>
      <c r="I24" s="8">
        <v>1</v>
      </c>
    </row>
    <row r="25" spans="1:9" x14ac:dyDescent="0.2">
      <c r="A25" s="6" t="s">
        <v>24</v>
      </c>
      <c r="B25" s="8">
        <v>0</v>
      </c>
      <c r="C25" s="8">
        <v>0.34042553191489361</v>
      </c>
      <c r="D25" s="8">
        <v>0.36170212765957449</v>
      </c>
      <c r="E25" s="8">
        <v>0.23404255319148939</v>
      </c>
      <c r="F25" s="8">
        <v>2.1276595744680851E-2</v>
      </c>
      <c r="G25" s="8">
        <v>4.2553191489361701E-2</v>
      </c>
      <c r="H25" s="8">
        <v>0</v>
      </c>
      <c r="I25" s="8">
        <v>1</v>
      </c>
    </row>
    <row r="26" spans="1:9" x14ac:dyDescent="0.2">
      <c r="A26" s="6" t="s">
        <v>25</v>
      </c>
      <c r="B26" s="8">
        <v>0.1</v>
      </c>
      <c r="C26" s="8">
        <v>0.35</v>
      </c>
      <c r="D26" s="8">
        <v>0.2</v>
      </c>
      <c r="E26" s="8">
        <v>0.05</v>
      </c>
      <c r="F26" s="8">
        <v>0.15</v>
      </c>
      <c r="G26" s="8">
        <v>0.15</v>
      </c>
      <c r="H26" s="8">
        <v>0</v>
      </c>
      <c r="I26" s="8">
        <v>1</v>
      </c>
    </row>
    <row r="27" spans="1:9" x14ac:dyDescent="0.2">
      <c r="A27" s="6" t="s">
        <v>26</v>
      </c>
      <c r="B27" s="8">
        <v>1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6" customWidth="1"/>
    <col min="2" max="8" width="13" customWidth="1"/>
    <col min="9" max="9" width="11" customWidth="1"/>
  </cols>
  <sheetData>
    <row r="1" spans="1:9" ht="20" x14ac:dyDescent="0.25">
      <c r="A1" s="1" t="s">
        <v>43</v>
      </c>
    </row>
    <row r="2" spans="1:9" x14ac:dyDescent="0.2">
      <c r="A2" s="2" t="s">
        <v>30</v>
      </c>
    </row>
    <row r="4" spans="1:9" x14ac:dyDescent="0.2">
      <c r="A4" s="5" t="s">
        <v>5</v>
      </c>
      <c r="B4" s="5" t="s">
        <v>44</v>
      </c>
      <c r="C4" s="5" t="s">
        <v>45</v>
      </c>
      <c r="D4" s="5" t="s">
        <v>46</v>
      </c>
      <c r="E4" s="5" t="s">
        <v>47</v>
      </c>
      <c r="F4" s="5" t="s">
        <v>48</v>
      </c>
      <c r="G4" s="5" t="s">
        <v>49</v>
      </c>
      <c r="H4" s="5" t="s">
        <v>33</v>
      </c>
      <c r="I4" s="5" t="s">
        <v>34</v>
      </c>
    </row>
    <row r="5" spans="1:9" x14ac:dyDescent="0.2">
      <c r="A5" s="6" t="s">
        <v>14</v>
      </c>
      <c r="B5" s="7">
        <v>41265</v>
      </c>
      <c r="C5" s="7">
        <v>39254</v>
      </c>
      <c r="D5" s="7">
        <v>21492</v>
      </c>
      <c r="E5" s="7">
        <v>3133</v>
      </c>
      <c r="F5" s="7">
        <v>2952</v>
      </c>
      <c r="G5" s="7">
        <v>1498</v>
      </c>
      <c r="H5" s="7">
        <v>7670</v>
      </c>
      <c r="I5" s="12">
        <v>117264</v>
      </c>
    </row>
    <row r="6" spans="1:9" x14ac:dyDescent="0.2">
      <c r="A6" s="6" t="s">
        <v>16</v>
      </c>
      <c r="B6" s="7">
        <v>40568</v>
      </c>
      <c r="C6" s="7">
        <v>37622</v>
      </c>
      <c r="D6" s="7">
        <v>22382</v>
      </c>
      <c r="E6" s="7">
        <v>3162</v>
      </c>
      <c r="F6" s="7">
        <v>2239</v>
      </c>
      <c r="G6" s="7">
        <v>1205</v>
      </c>
      <c r="H6" s="7">
        <v>8476</v>
      </c>
      <c r="I6" s="12">
        <v>115654</v>
      </c>
    </row>
    <row r="7" spans="1:9" x14ac:dyDescent="0.2">
      <c r="A7" s="6" t="s">
        <v>17</v>
      </c>
      <c r="B7" s="7">
        <v>28371</v>
      </c>
      <c r="C7" s="7">
        <v>24804</v>
      </c>
      <c r="D7" s="7">
        <v>13438</v>
      </c>
      <c r="E7" s="7">
        <v>2170</v>
      </c>
      <c r="F7" s="7">
        <v>1677</v>
      </c>
      <c r="G7" s="7">
        <v>795</v>
      </c>
      <c r="H7" s="7">
        <v>3254</v>
      </c>
      <c r="I7" s="12">
        <v>74509</v>
      </c>
    </row>
    <row r="8" spans="1:9" x14ac:dyDescent="0.2">
      <c r="A8" s="6" t="s">
        <v>18</v>
      </c>
      <c r="B8" s="7">
        <v>10694</v>
      </c>
      <c r="C8" s="7">
        <v>8592</v>
      </c>
      <c r="D8" s="7">
        <v>5110</v>
      </c>
      <c r="E8" s="7">
        <v>936</v>
      </c>
      <c r="F8" s="7">
        <v>584</v>
      </c>
      <c r="G8" s="7">
        <v>280</v>
      </c>
      <c r="H8" s="7">
        <v>2646</v>
      </c>
      <c r="I8" s="12">
        <v>28842</v>
      </c>
    </row>
    <row r="9" spans="1:9" x14ac:dyDescent="0.2">
      <c r="A9" s="6" t="s">
        <v>20</v>
      </c>
      <c r="B9" s="7">
        <v>8510</v>
      </c>
      <c r="C9" s="7">
        <v>8258</v>
      </c>
      <c r="D9" s="7">
        <v>5429</v>
      </c>
      <c r="E9" s="7">
        <v>979</v>
      </c>
      <c r="F9" s="7">
        <v>718</v>
      </c>
      <c r="G9" s="7">
        <v>457</v>
      </c>
      <c r="H9" s="7">
        <v>1725</v>
      </c>
      <c r="I9" s="12">
        <v>26076</v>
      </c>
    </row>
    <row r="10" spans="1:9" x14ac:dyDescent="0.2">
      <c r="A10" s="6" t="s">
        <v>21</v>
      </c>
      <c r="B10" s="7">
        <v>1682</v>
      </c>
      <c r="C10" s="7">
        <v>1395</v>
      </c>
      <c r="D10" s="7">
        <v>470</v>
      </c>
      <c r="E10" s="7">
        <v>47</v>
      </c>
      <c r="F10" s="7">
        <v>37</v>
      </c>
      <c r="G10" s="7">
        <v>11</v>
      </c>
      <c r="H10" s="7">
        <v>283</v>
      </c>
      <c r="I10" s="12">
        <v>3925</v>
      </c>
    </row>
    <row r="11" spans="1:9" x14ac:dyDescent="0.2">
      <c r="A11" s="6" t="s">
        <v>22</v>
      </c>
      <c r="B11" s="7">
        <v>270</v>
      </c>
      <c r="C11" s="7">
        <v>207</v>
      </c>
      <c r="D11" s="7">
        <v>134</v>
      </c>
      <c r="E11" s="7">
        <v>40</v>
      </c>
      <c r="F11" s="7">
        <v>42</v>
      </c>
      <c r="G11" s="7">
        <v>34</v>
      </c>
      <c r="H11" s="7">
        <v>108</v>
      </c>
      <c r="I11" s="12">
        <v>835</v>
      </c>
    </row>
    <row r="12" spans="1:9" x14ac:dyDescent="0.2">
      <c r="A12" s="6" t="s">
        <v>24</v>
      </c>
      <c r="B12" s="7">
        <v>12</v>
      </c>
      <c r="C12" s="7">
        <v>19</v>
      </c>
      <c r="D12" s="7">
        <v>10</v>
      </c>
      <c r="E12" s="7">
        <v>0</v>
      </c>
      <c r="F12" s="7">
        <v>2</v>
      </c>
      <c r="G12" s="7">
        <v>1</v>
      </c>
      <c r="H12" s="7">
        <v>3</v>
      </c>
      <c r="I12" s="12">
        <v>47</v>
      </c>
    </row>
    <row r="13" spans="1:9" x14ac:dyDescent="0.2">
      <c r="A13" s="6" t="s">
        <v>25</v>
      </c>
      <c r="B13" s="7">
        <v>8</v>
      </c>
      <c r="C13" s="7">
        <v>3</v>
      </c>
      <c r="D13" s="7">
        <v>5</v>
      </c>
      <c r="E13" s="7">
        <v>0</v>
      </c>
      <c r="F13" s="7">
        <v>2</v>
      </c>
      <c r="G13" s="7">
        <v>0</v>
      </c>
      <c r="H13" s="7">
        <v>2</v>
      </c>
      <c r="I13" s="12">
        <v>20</v>
      </c>
    </row>
    <row r="14" spans="1:9" x14ac:dyDescent="0.2">
      <c r="A14" s="6" t="s">
        <v>26</v>
      </c>
      <c r="B14" s="7">
        <v>0</v>
      </c>
      <c r="C14" s="7">
        <v>1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12">
        <v>1</v>
      </c>
    </row>
    <row r="16" spans="1:9" x14ac:dyDescent="0.2">
      <c r="A16" s="13" t="s">
        <v>35</v>
      </c>
    </row>
    <row r="17" spans="1:9" x14ac:dyDescent="0.2">
      <c r="A17" s="5" t="s">
        <v>5</v>
      </c>
      <c r="B17" s="5" t="s">
        <v>44</v>
      </c>
      <c r="C17" s="5" t="s">
        <v>45</v>
      </c>
      <c r="D17" s="5" t="s">
        <v>46</v>
      </c>
      <c r="E17" s="5" t="s">
        <v>47</v>
      </c>
      <c r="F17" s="5" t="s">
        <v>48</v>
      </c>
      <c r="G17" s="5" t="s">
        <v>49</v>
      </c>
      <c r="H17" s="5" t="s">
        <v>33</v>
      </c>
      <c r="I17" s="5" t="s">
        <v>34</v>
      </c>
    </row>
    <row r="18" spans="1:9" x14ac:dyDescent="0.2">
      <c r="A18" s="6" t="s">
        <v>14</v>
      </c>
      <c r="B18" s="8">
        <v>0.35189828080229218</v>
      </c>
      <c r="C18" s="8">
        <v>0.33474894255696552</v>
      </c>
      <c r="D18" s="8">
        <v>0.1832787556283258</v>
      </c>
      <c r="E18" s="8">
        <v>2.671749215445491E-2</v>
      </c>
      <c r="F18" s="8">
        <v>2.5173966434711419E-2</v>
      </c>
      <c r="G18" s="8">
        <v>1.2774594078319009E-2</v>
      </c>
      <c r="H18" s="8">
        <v>6.5407968344931094E-2</v>
      </c>
      <c r="I18" s="8">
        <v>1</v>
      </c>
    </row>
    <row r="19" spans="1:9" x14ac:dyDescent="0.2">
      <c r="A19" s="6" t="s">
        <v>16</v>
      </c>
      <c r="B19" s="8">
        <v>0.35077040136960241</v>
      </c>
      <c r="C19" s="8">
        <v>0.32529787123661957</v>
      </c>
      <c r="D19" s="8">
        <v>0.1935255157625331</v>
      </c>
      <c r="E19" s="8">
        <v>2.734016981686755E-2</v>
      </c>
      <c r="F19" s="8">
        <v>1.935946876026769E-2</v>
      </c>
      <c r="G19" s="8">
        <v>1.041900842167154E-2</v>
      </c>
      <c r="H19" s="8">
        <v>7.3287564632438129E-2</v>
      </c>
      <c r="I19" s="8">
        <v>1</v>
      </c>
    </row>
    <row r="20" spans="1:9" x14ac:dyDescent="0.2">
      <c r="A20" s="6" t="s">
        <v>17</v>
      </c>
      <c r="B20" s="8">
        <v>0.38077279254855118</v>
      </c>
      <c r="C20" s="8">
        <v>0.33289938128279811</v>
      </c>
      <c r="D20" s="8">
        <v>0.180354051188447</v>
      </c>
      <c r="E20" s="8">
        <v>2.9123998443141098E-2</v>
      </c>
      <c r="F20" s="8">
        <v>2.2507348105597982E-2</v>
      </c>
      <c r="G20" s="8">
        <v>1.0669851964192239E-2</v>
      </c>
      <c r="H20" s="8">
        <v>4.3672576467272413E-2</v>
      </c>
      <c r="I20" s="8">
        <v>1</v>
      </c>
    </row>
    <row r="21" spans="1:9" x14ac:dyDescent="0.2">
      <c r="A21" s="6" t="s">
        <v>18</v>
      </c>
      <c r="B21" s="8">
        <v>0.37077872546980101</v>
      </c>
      <c r="C21" s="8">
        <v>0.29789889744123149</v>
      </c>
      <c r="D21" s="8">
        <v>0.17717217946050901</v>
      </c>
      <c r="E21" s="8">
        <v>3.2452673184938628E-2</v>
      </c>
      <c r="F21" s="8">
        <v>2.0248249081201031E-2</v>
      </c>
      <c r="G21" s="8">
        <v>9.7080646279730943E-3</v>
      </c>
      <c r="H21" s="8">
        <v>9.1741210734345741E-2</v>
      </c>
      <c r="I21" s="8">
        <v>1</v>
      </c>
    </row>
    <row r="22" spans="1:9" x14ac:dyDescent="0.2">
      <c r="A22" s="6" t="s">
        <v>20</v>
      </c>
      <c r="B22" s="8">
        <v>0.32635373523546563</v>
      </c>
      <c r="C22" s="8">
        <v>0.31668967633072559</v>
      </c>
      <c r="D22" s="8">
        <v>0.20819911029298971</v>
      </c>
      <c r="E22" s="8">
        <v>3.7544101856112899E-2</v>
      </c>
      <c r="F22" s="8">
        <v>2.7534897990489339E-2</v>
      </c>
      <c r="G22" s="8">
        <v>1.7525694124865779E-2</v>
      </c>
      <c r="H22" s="8">
        <v>6.6152784169351123E-2</v>
      </c>
      <c r="I22" s="8">
        <v>1</v>
      </c>
    </row>
    <row r="23" spans="1:9" x14ac:dyDescent="0.2">
      <c r="A23" s="6" t="s">
        <v>21</v>
      </c>
      <c r="B23" s="8">
        <v>0.42853503184713382</v>
      </c>
      <c r="C23" s="8">
        <v>0.35541401273885348</v>
      </c>
      <c r="D23" s="8">
        <v>0.11974522292993631</v>
      </c>
      <c r="E23" s="8">
        <v>1.1974522292993631E-2</v>
      </c>
      <c r="F23" s="8">
        <v>9.4267515923566886E-3</v>
      </c>
      <c r="G23" s="8">
        <v>2.8025477707006368E-3</v>
      </c>
      <c r="H23" s="8">
        <v>7.2101910828025473E-2</v>
      </c>
      <c r="I23" s="8">
        <v>1</v>
      </c>
    </row>
    <row r="24" spans="1:9" x14ac:dyDescent="0.2">
      <c r="A24" s="6" t="s">
        <v>22</v>
      </c>
      <c r="B24" s="8">
        <v>0.32335329341317359</v>
      </c>
      <c r="C24" s="8">
        <v>0.24790419161676649</v>
      </c>
      <c r="D24" s="8">
        <v>0.16047904191616769</v>
      </c>
      <c r="E24" s="8">
        <v>4.790419161676647E-2</v>
      </c>
      <c r="F24" s="8">
        <v>5.0299401197604787E-2</v>
      </c>
      <c r="G24" s="8">
        <v>4.0718562874251497E-2</v>
      </c>
      <c r="H24" s="8">
        <v>0.12934131736526949</v>
      </c>
      <c r="I24" s="8">
        <v>1</v>
      </c>
    </row>
    <row r="25" spans="1:9" x14ac:dyDescent="0.2">
      <c r="A25" s="6" t="s">
        <v>24</v>
      </c>
      <c r="B25" s="8">
        <v>0.25531914893617019</v>
      </c>
      <c r="C25" s="8">
        <v>0.40425531914893609</v>
      </c>
      <c r="D25" s="8">
        <v>0.21276595744680851</v>
      </c>
      <c r="E25" s="8">
        <v>0</v>
      </c>
      <c r="F25" s="8">
        <v>4.2553191489361701E-2</v>
      </c>
      <c r="G25" s="8">
        <v>2.1276595744680851E-2</v>
      </c>
      <c r="H25" s="8">
        <v>6.3829787234042548E-2</v>
      </c>
      <c r="I25" s="8">
        <v>1</v>
      </c>
    </row>
    <row r="26" spans="1:9" x14ac:dyDescent="0.2">
      <c r="A26" s="6" t="s">
        <v>25</v>
      </c>
      <c r="B26" s="8">
        <v>0.4</v>
      </c>
      <c r="C26" s="8">
        <v>0.15</v>
      </c>
      <c r="D26" s="8">
        <v>0.25</v>
      </c>
      <c r="E26" s="8">
        <v>0</v>
      </c>
      <c r="F26" s="8">
        <v>0.1</v>
      </c>
      <c r="G26" s="8">
        <v>0</v>
      </c>
      <c r="H26" s="8">
        <v>0.1</v>
      </c>
      <c r="I26" s="8">
        <v>1</v>
      </c>
    </row>
    <row r="27" spans="1:9" x14ac:dyDescent="0.2">
      <c r="A27" s="6" t="s">
        <v>26</v>
      </c>
      <c r="B27" s="8">
        <v>0</v>
      </c>
      <c r="C27" s="8">
        <v>1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7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6" customWidth="1"/>
    <col min="2" max="7" width="13" customWidth="1"/>
    <col min="8" max="8" width="11" customWidth="1"/>
  </cols>
  <sheetData>
    <row r="1" spans="1:8" ht="20" x14ac:dyDescent="0.25">
      <c r="A1" s="1" t="s">
        <v>50</v>
      </c>
    </row>
    <row r="2" spans="1:8" x14ac:dyDescent="0.2">
      <c r="A2" s="2" t="s">
        <v>30</v>
      </c>
    </row>
    <row r="4" spans="1:8" x14ac:dyDescent="0.2">
      <c r="A4" s="5" t="s">
        <v>5</v>
      </c>
      <c r="B4" s="5" t="s">
        <v>51</v>
      </c>
      <c r="C4" s="5" t="s">
        <v>52</v>
      </c>
      <c r="D4" s="5" t="s">
        <v>53</v>
      </c>
      <c r="E4" s="5" t="s">
        <v>54</v>
      </c>
      <c r="F4" s="5" t="s">
        <v>55</v>
      </c>
      <c r="G4" s="5" t="s">
        <v>33</v>
      </c>
      <c r="H4" s="5" t="s">
        <v>34</v>
      </c>
    </row>
    <row r="5" spans="1:8" x14ac:dyDescent="0.2">
      <c r="A5" s="6" t="s">
        <v>14</v>
      </c>
      <c r="B5" s="7">
        <v>934</v>
      </c>
      <c r="C5" s="7">
        <v>7690</v>
      </c>
      <c r="D5" s="7">
        <v>61115</v>
      </c>
      <c r="E5" s="7">
        <v>46490</v>
      </c>
      <c r="F5" s="7">
        <v>448</v>
      </c>
      <c r="G5" s="7">
        <v>587</v>
      </c>
      <c r="H5" s="12">
        <v>117264</v>
      </c>
    </row>
    <row r="6" spans="1:8" x14ac:dyDescent="0.2">
      <c r="A6" s="6" t="s">
        <v>16</v>
      </c>
      <c r="B6" s="7">
        <v>357</v>
      </c>
      <c r="C6" s="7">
        <v>7547</v>
      </c>
      <c r="D6" s="7">
        <v>69617</v>
      </c>
      <c r="E6" s="7">
        <v>37080</v>
      </c>
      <c r="F6" s="7">
        <v>416</v>
      </c>
      <c r="G6" s="7">
        <v>637</v>
      </c>
      <c r="H6" s="12">
        <v>115654</v>
      </c>
    </row>
    <row r="7" spans="1:8" x14ac:dyDescent="0.2">
      <c r="A7" s="6" t="s">
        <v>17</v>
      </c>
      <c r="B7" s="7">
        <v>176</v>
      </c>
      <c r="C7" s="7">
        <v>5142</v>
      </c>
      <c r="D7" s="7">
        <v>44005</v>
      </c>
      <c r="E7" s="7">
        <v>24654</v>
      </c>
      <c r="F7" s="7">
        <v>188</v>
      </c>
      <c r="G7" s="7">
        <v>344</v>
      </c>
      <c r="H7" s="12">
        <v>74509</v>
      </c>
    </row>
    <row r="8" spans="1:8" x14ac:dyDescent="0.2">
      <c r="A8" s="6" t="s">
        <v>18</v>
      </c>
      <c r="B8" s="7">
        <v>148</v>
      </c>
      <c r="C8" s="7">
        <v>3619</v>
      </c>
      <c r="D8" s="7">
        <v>20910</v>
      </c>
      <c r="E8" s="7">
        <v>4000</v>
      </c>
      <c r="F8" s="7">
        <v>70</v>
      </c>
      <c r="G8" s="7">
        <v>95</v>
      </c>
      <c r="H8" s="12">
        <v>28842</v>
      </c>
    </row>
    <row r="9" spans="1:8" x14ac:dyDescent="0.2">
      <c r="A9" s="6" t="s">
        <v>20</v>
      </c>
      <c r="B9" s="7">
        <v>233</v>
      </c>
      <c r="C9" s="7">
        <v>3544</v>
      </c>
      <c r="D9" s="7">
        <v>17106</v>
      </c>
      <c r="E9" s="7">
        <v>5044</v>
      </c>
      <c r="F9" s="7">
        <v>45</v>
      </c>
      <c r="G9" s="7">
        <v>104</v>
      </c>
      <c r="H9" s="12">
        <v>26076</v>
      </c>
    </row>
    <row r="10" spans="1:8" x14ac:dyDescent="0.2">
      <c r="A10" s="6" t="s">
        <v>21</v>
      </c>
      <c r="B10" s="7">
        <v>12</v>
      </c>
      <c r="C10" s="7">
        <v>132</v>
      </c>
      <c r="D10" s="7">
        <v>1225</v>
      </c>
      <c r="E10" s="7">
        <v>2537</v>
      </c>
      <c r="F10" s="7">
        <v>13</v>
      </c>
      <c r="G10" s="7">
        <v>6</v>
      </c>
      <c r="H10" s="12">
        <v>3925</v>
      </c>
    </row>
    <row r="11" spans="1:8" x14ac:dyDescent="0.2">
      <c r="A11" s="6" t="s">
        <v>22</v>
      </c>
      <c r="B11" s="7">
        <v>32</v>
      </c>
      <c r="C11" s="7">
        <v>201</v>
      </c>
      <c r="D11" s="7">
        <v>389</v>
      </c>
      <c r="E11" s="7">
        <v>186</v>
      </c>
      <c r="F11" s="7">
        <v>24</v>
      </c>
      <c r="G11" s="7">
        <v>3</v>
      </c>
      <c r="H11" s="12">
        <v>835</v>
      </c>
    </row>
    <row r="12" spans="1:8" x14ac:dyDescent="0.2">
      <c r="A12" s="6" t="s">
        <v>24</v>
      </c>
      <c r="B12" s="7">
        <v>3</v>
      </c>
      <c r="C12" s="7">
        <v>9</v>
      </c>
      <c r="D12" s="7">
        <v>25</v>
      </c>
      <c r="E12" s="7">
        <v>10</v>
      </c>
      <c r="F12" s="7">
        <v>0</v>
      </c>
      <c r="G12" s="7">
        <v>0</v>
      </c>
      <c r="H12" s="12">
        <v>47</v>
      </c>
    </row>
    <row r="13" spans="1:8" x14ac:dyDescent="0.2">
      <c r="A13" s="6" t="s">
        <v>25</v>
      </c>
      <c r="B13" s="7">
        <v>0</v>
      </c>
      <c r="C13" s="7">
        <v>3</v>
      </c>
      <c r="D13" s="7">
        <v>10</v>
      </c>
      <c r="E13" s="7">
        <v>4</v>
      </c>
      <c r="F13" s="7">
        <v>3</v>
      </c>
      <c r="G13" s="7">
        <v>0</v>
      </c>
      <c r="H13" s="12">
        <v>20</v>
      </c>
    </row>
    <row r="14" spans="1:8" x14ac:dyDescent="0.2">
      <c r="A14" s="6" t="s">
        <v>26</v>
      </c>
      <c r="B14" s="7">
        <v>0</v>
      </c>
      <c r="C14" s="7">
        <v>1</v>
      </c>
      <c r="D14" s="7">
        <v>0</v>
      </c>
      <c r="E14" s="7">
        <v>0</v>
      </c>
      <c r="F14" s="7">
        <v>0</v>
      </c>
      <c r="G14" s="7">
        <v>0</v>
      </c>
      <c r="H14" s="12">
        <v>1</v>
      </c>
    </row>
    <row r="16" spans="1:8" x14ac:dyDescent="0.2">
      <c r="A16" s="13" t="s">
        <v>35</v>
      </c>
    </row>
    <row r="17" spans="1:8" x14ac:dyDescent="0.2">
      <c r="A17" s="5" t="s">
        <v>5</v>
      </c>
      <c r="B17" s="5" t="s">
        <v>51</v>
      </c>
      <c r="C17" s="5" t="s">
        <v>52</v>
      </c>
      <c r="D17" s="5" t="s">
        <v>53</v>
      </c>
      <c r="E17" s="5" t="s">
        <v>54</v>
      </c>
      <c r="F17" s="5" t="s">
        <v>55</v>
      </c>
      <c r="G17" s="5" t="s">
        <v>33</v>
      </c>
      <c r="H17" s="5" t="s">
        <v>34</v>
      </c>
    </row>
    <row r="18" spans="1:8" x14ac:dyDescent="0.2">
      <c r="A18" s="6" t="s">
        <v>14</v>
      </c>
      <c r="B18" s="8">
        <v>7.9649338245326787E-3</v>
      </c>
      <c r="C18" s="8">
        <v>6.557852367307955E-2</v>
      </c>
      <c r="D18" s="8">
        <v>0.5211744439896302</v>
      </c>
      <c r="E18" s="8">
        <v>0.39645586028107521</v>
      </c>
      <c r="F18" s="8">
        <v>3.8204393505253099E-3</v>
      </c>
      <c r="G18" s="8">
        <v>5.0057988811570472E-3</v>
      </c>
      <c r="H18" s="8">
        <v>1</v>
      </c>
    </row>
    <row r="19" spans="1:8" x14ac:dyDescent="0.2">
      <c r="A19" s="6" t="s">
        <v>16</v>
      </c>
      <c r="B19" s="8">
        <v>3.0867933664205302E-3</v>
      </c>
      <c r="C19" s="8">
        <v>6.5254984695730364E-2</v>
      </c>
      <c r="D19" s="8">
        <v>0.60194199941203941</v>
      </c>
      <c r="E19" s="8">
        <v>0.32061147906687187</v>
      </c>
      <c r="F19" s="8">
        <v>3.5969356874816262E-3</v>
      </c>
      <c r="G19" s="8">
        <v>5.50780777145624E-3</v>
      </c>
      <c r="H19" s="8">
        <v>1</v>
      </c>
    </row>
    <row r="20" spans="1:8" x14ac:dyDescent="0.2">
      <c r="A20" s="6" t="s">
        <v>17</v>
      </c>
      <c r="B20" s="8">
        <v>2.3621307493054528E-3</v>
      </c>
      <c r="C20" s="8">
        <v>6.9011797232549091E-2</v>
      </c>
      <c r="D20" s="8">
        <v>0.59059979331355938</v>
      </c>
      <c r="E20" s="8">
        <v>0.33088620166691268</v>
      </c>
      <c r="F20" s="8">
        <v>2.5231851185762788E-3</v>
      </c>
      <c r="G20" s="8">
        <v>4.6168919190970222E-3</v>
      </c>
      <c r="H20" s="8">
        <v>1</v>
      </c>
    </row>
    <row r="21" spans="1:8" x14ac:dyDescent="0.2">
      <c r="A21" s="6" t="s">
        <v>18</v>
      </c>
      <c r="B21" s="8">
        <v>5.1314055890714933E-3</v>
      </c>
      <c r="C21" s="8">
        <v>0.12547673531655229</v>
      </c>
      <c r="D21" s="8">
        <v>0.7249843977532765</v>
      </c>
      <c r="E21" s="8">
        <v>0.13868663754247279</v>
      </c>
      <c r="F21" s="8">
        <v>2.427016156993274E-3</v>
      </c>
      <c r="G21" s="8">
        <v>3.2938076416337289E-3</v>
      </c>
      <c r="H21" s="8">
        <v>1</v>
      </c>
    </row>
    <row r="22" spans="1:8" x14ac:dyDescent="0.2">
      <c r="A22" s="6" t="s">
        <v>20</v>
      </c>
      <c r="B22" s="8">
        <v>8.935419542874674E-3</v>
      </c>
      <c r="C22" s="8">
        <v>0.13591041570793069</v>
      </c>
      <c r="D22" s="8">
        <v>0.65600552231937415</v>
      </c>
      <c r="E22" s="8">
        <v>0.1934345758551925</v>
      </c>
      <c r="F22" s="8">
        <v>1.725724804417856E-3</v>
      </c>
      <c r="G22" s="8">
        <v>3.9883417702101546E-3</v>
      </c>
      <c r="H22" s="8">
        <v>1</v>
      </c>
    </row>
    <row r="23" spans="1:8" x14ac:dyDescent="0.2">
      <c r="A23" s="6" t="s">
        <v>21</v>
      </c>
      <c r="B23" s="8">
        <v>3.0573248407643311E-3</v>
      </c>
      <c r="C23" s="8">
        <v>3.3630573248407652E-2</v>
      </c>
      <c r="D23" s="8">
        <v>0.31210191082802552</v>
      </c>
      <c r="E23" s="8">
        <v>0.64636942675159237</v>
      </c>
      <c r="F23" s="8">
        <v>3.312101910828025E-3</v>
      </c>
      <c r="G23" s="8">
        <v>1.528662420382166E-3</v>
      </c>
      <c r="H23" s="8">
        <v>1</v>
      </c>
    </row>
    <row r="24" spans="1:8" x14ac:dyDescent="0.2">
      <c r="A24" s="6" t="s">
        <v>22</v>
      </c>
      <c r="B24" s="8">
        <v>3.8323353293413173E-2</v>
      </c>
      <c r="C24" s="8">
        <v>0.2407185628742515</v>
      </c>
      <c r="D24" s="8">
        <v>0.46586826347305388</v>
      </c>
      <c r="E24" s="8">
        <v>0.2227544910179641</v>
      </c>
      <c r="F24" s="8">
        <v>2.874251497005988E-2</v>
      </c>
      <c r="G24" s="8">
        <v>3.592814371257485E-3</v>
      </c>
      <c r="H24" s="8">
        <v>1</v>
      </c>
    </row>
    <row r="25" spans="1:8" x14ac:dyDescent="0.2">
      <c r="A25" s="6" t="s">
        <v>24</v>
      </c>
      <c r="B25" s="8">
        <v>6.3829787234042548E-2</v>
      </c>
      <c r="C25" s="8">
        <v>0.19148936170212769</v>
      </c>
      <c r="D25" s="8">
        <v>0.53191489361702127</v>
      </c>
      <c r="E25" s="8">
        <v>0.21276595744680851</v>
      </c>
      <c r="F25" s="8">
        <v>0</v>
      </c>
      <c r="G25" s="8">
        <v>0</v>
      </c>
      <c r="H25" s="8">
        <v>1</v>
      </c>
    </row>
    <row r="26" spans="1:8" x14ac:dyDescent="0.2">
      <c r="A26" s="6" t="s">
        <v>25</v>
      </c>
      <c r="B26" s="8">
        <v>0</v>
      </c>
      <c r="C26" s="8">
        <v>0.15</v>
      </c>
      <c r="D26" s="8">
        <v>0.5</v>
      </c>
      <c r="E26" s="8">
        <v>0.2</v>
      </c>
      <c r="F26" s="8">
        <v>0.15</v>
      </c>
      <c r="G26" s="8">
        <v>0</v>
      </c>
      <c r="H26" s="8">
        <v>1</v>
      </c>
    </row>
    <row r="27" spans="1:8" x14ac:dyDescent="0.2">
      <c r="A27" s="6" t="s">
        <v>26</v>
      </c>
      <c r="B27" s="8">
        <v>0</v>
      </c>
      <c r="C27" s="8">
        <v>1</v>
      </c>
      <c r="D27" s="8">
        <v>0</v>
      </c>
      <c r="E27" s="8">
        <v>0</v>
      </c>
      <c r="F27" s="8">
        <v>0</v>
      </c>
      <c r="G27" s="8">
        <v>0</v>
      </c>
      <c r="H27" s="8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7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6" customWidth="1"/>
    <col min="2" max="9" width="13" customWidth="1"/>
    <col min="10" max="10" width="11" customWidth="1"/>
  </cols>
  <sheetData>
    <row r="1" spans="1:10" ht="20" x14ac:dyDescent="0.25">
      <c r="A1" s="1" t="s">
        <v>56</v>
      </c>
    </row>
    <row r="2" spans="1:10" x14ac:dyDescent="0.2">
      <c r="A2" s="2" t="s">
        <v>30</v>
      </c>
    </row>
    <row r="4" spans="1:10" x14ac:dyDescent="0.2">
      <c r="A4" s="5" t="s">
        <v>5</v>
      </c>
      <c r="B4" s="5" t="s">
        <v>57</v>
      </c>
      <c r="C4" s="5" t="s">
        <v>58</v>
      </c>
      <c r="D4" s="5" t="s">
        <v>59</v>
      </c>
      <c r="E4" s="5" t="s">
        <v>60</v>
      </c>
      <c r="F4" s="5" t="s">
        <v>61</v>
      </c>
      <c r="G4" s="5" t="s">
        <v>62</v>
      </c>
      <c r="H4" s="5" t="s">
        <v>63</v>
      </c>
      <c r="I4" s="5" t="s">
        <v>33</v>
      </c>
      <c r="J4" s="5" t="s">
        <v>34</v>
      </c>
    </row>
    <row r="5" spans="1:10" x14ac:dyDescent="0.2">
      <c r="A5" s="6" t="s">
        <v>14</v>
      </c>
      <c r="B5" s="7">
        <v>722</v>
      </c>
      <c r="C5" s="7">
        <v>3093</v>
      </c>
      <c r="D5" s="7">
        <v>15006</v>
      </c>
      <c r="E5" s="7">
        <v>23591</v>
      </c>
      <c r="F5" s="7">
        <v>1096</v>
      </c>
      <c r="G5" s="7">
        <v>20890</v>
      </c>
      <c r="H5" s="7">
        <v>306</v>
      </c>
      <c r="I5" s="7">
        <v>52560</v>
      </c>
      <c r="J5" s="12">
        <v>117264</v>
      </c>
    </row>
    <row r="6" spans="1:10" x14ac:dyDescent="0.2">
      <c r="A6" s="6" t="s">
        <v>16</v>
      </c>
      <c r="B6" s="7">
        <v>284</v>
      </c>
      <c r="C6" s="7">
        <v>1809</v>
      </c>
      <c r="D6" s="7">
        <v>11199</v>
      </c>
      <c r="E6" s="7">
        <v>17808</v>
      </c>
      <c r="F6" s="7">
        <v>434</v>
      </c>
      <c r="G6" s="7">
        <v>21704</v>
      </c>
      <c r="H6" s="7">
        <v>253</v>
      </c>
      <c r="I6" s="7">
        <v>62163</v>
      </c>
      <c r="J6" s="12">
        <v>115654</v>
      </c>
    </row>
    <row r="7" spans="1:10" x14ac:dyDescent="0.2">
      <c r="A7" s="6" t="s">
        <v>17</v>
      </c>
      <c r="B7" s="7">
        <v>79</v>
      </c>
      <c r="C7" s="7">
        <v>1369</v>
      </c>
      <c r="D7" s="7">
        <v>7015</v>
      </c>
      <c r="E7" s="7">
        <v>10502</v>
      </c>
      <c r="F7" s="7">
        <v>305</v>
      </c>
      <c r="G7" s="7">
        <v>14860</v>
      </c>
      <c r="H7" s="7">
        <v>154</v>
      </c>
      <c r="I7" s="7">
        <v>40225</v>
      </c>
      <c r="J7" s="12">
        <v>74509</v>
      </c>
    </row>
    <row r="8" spans="1:10" x14ac:dyDescent="0.2">
      <c r="A8" s="6" t="s">
        <v>18</v>
      </c>
      <c r="B8" s="7">
        <v>40</v>
      </c>
      <c r="C8" s="7">
        <v>317</v>
      </c>
      <c r="D8" s="7">
        <v>2997</v>
      </c>
      <c r="E8" s="7">
        <v>4766</v>
      </c>
      <c r="F8" s="7">
        <v>117</v>
      </c>
      <c r="G8" s="7">
        <v>6339</v>
      </c>
      <c r="H8" s="7">
        <v>68</v>
      </c>
      <c r="I8" s="7">
        <v>14198</v>
      </c>
      <c r="J8" s="12">
        <v>28842</v>
      </c>
    </row>
    <row r="9" spans="1:10" x14ac:dyDescent="0.2">
      <c r="A9" s="6" t="s">
        <v>20</v>
      </c>
      <c r="B9" s="7">
        <v>26</v>
      </c>
      <c r="C9" s="7">
        <v>261</v>
      </c>
      <c r="D9" s="7">
        <v>1853</v>
      </c>
      <c r="E9" s="7">
        <v>3843</v>
      </c>
      <c r="F9" s="7">
        <v>162</v>
      </c>
      <c r="G9" s="7">
        <v>5960</v>
      </c>
      <c r="H9" s="7">
        <v>127</v>
      </c>
      <c r="I9" s="7">
        <v>13844</v>
      </c>
      <c r="J9" s="12">
        <v>26076</v>
      </c>
    </row>
    <row r="10" spans="1:10" x14ac:dyDescent="0.2">
      <c r="A10" s="6" t="s">
        <v>21</v>
      </c>
      <c r="B10" s="7">
        <v>20</v>
      </c>
      <c r="C10" s="7">
        <v>130</v>
      </c>
      <c r="D10" s="7">
        <v>485</v>
      </c>
      <c r="E10" s="7">
        <v>489</v>
      </c>
      <c r="F10" s="7">
        <v>19</v>
      </c>
      <c r="G10" s="7">
        <v>523</v>
      </c>
      <c r="H10" s="7">
        <v>6</v>
      </c>
      <c r="I10" s="7">
        <v>2253</v>
      </c>
      <c r="J10" s="12">
        <v>3925</v>
      </c>
    </row>
    <row r="11" spans="1:10" x14ac:dyDescent="0.2">
      <c r="A11" s="6" t="s">
        <v>22</v>
      </c>
      <c r="B11" s="7">
        <v>0</v>
      </c>
      <c r="C11" s="7">
        <v>6</v>
      </c>
      <c r="D11" s="7">
        <v>85</v>
      </c>
      <c r="E11" s="7">
        <v>199</v>
      </c>
      <c r="F11" s="7">
        <v>7</v>
      </c>
      <c r="G11" s="7">
        <v>287</v>
      </c>
      <c r="H11" s="7">
        <v>10</v>
      </c>
      <c r="I11" s="7">
        <v>241</v>
      </c>
      <c r="J11" s="12">
        <v>835</v>
      </c>
    </row>
    <row r="12" spans="1:10" x14ac:dyDescent="0.2">
      <c r="A12" s="6" t="s">
        <v>24</v>
      </c>
      <c r="B12" s="7">
        <v>0</v>
      </c>
      <c r="C12" s="7">
        <v>0</v>
      </c>
      <c r="D12" s="7">
        <v>4</v>
      </c>
      <c r="E12" s="7">
        <v>27</v>
      </c>
      <c r="F12" s="7">
        <v>0</v>
      </c>
      <c r="G12" s="7">
        <v>9</v>
      </c>
      <c r="H12" s="7">
        <v>0</v>
      </c>
      <c r="I12" s="7">
        <v>7</v>
      </c>
      <c r="J12" s="12">
        <v>47</v>
      </c>
    </row>
    <row r="13" spans="1:10" x14ac:dyDescent="0.2">
      <c r="A13" s="6" t="s">
        <v>25</v>
      </c>
      <c r="B13" s="7">
        <v>0</v>
      </c>
      <c r="C13" s="7">
        <v>0</v>
      </c>
      <c r="D13" s="7">
        <v>2</v>
      </c>
      <c r="E13" s="7">
        <v>8</v>
      </c>
      <c r="F13" s="7">
        <v>0</v>
      </c>
      <c r="G13" s="7">
        <v>4</v>
      </c>
      <c r="H13" s="7">
        <v>0</v>
      </c>
      <c r="I13" s="7">
        <v>6</v>
      </c>
      <c r="J13" s="12">
        <v>20</v>
      </c>
    </row>
    <row r="14" spans="1:10" x14ac:dyDescent="0.2">
      <c r="A14" s="6" t="s">
        <v>26</v>
      </c>
      <c r="B14" s="7">
        <v>0</v>
      </c>
      <c r="C14" s="7">
        <v>0</v>
      </c>
      <c r="D14" s="7">
        <v>0</v>
      </c>
      <c r="E14" s="7">
        <v>1</v>
      </c>
      <c r="F14" s="7">
        <v>0</v>
      </c>
      <c r="G14" s="7">
        <v>0</v>
      </c>
      <c r="H14" s="7">
        <v>0</v>
      </c>
      <c r="I14" s="7">
        <v>0</v>
      </c>
      <c r="J14" s="12">
        <v>1</v>
      </c>
    </row>
    <row r="16" spans="1:10" x14ac:dyDescent="0.2">
      <c r="A16" s="13" t="s">
        <v>35</v>
      </c>
    </row>
    <row r="17" spans="1:10" x14ac:dyDescent="0.2">
      <c r="A17" s="5" t="s">
        <v>5</v>
      </c>
      <c r="B17" s="5" t="s">
        <v>57</v>
      </c>
      <c r="C17" s="5" t="s">
        <v>58</v>
      </c>
      <c r="D17" s="5" t="s">
        <v>59</v>
      </c>
      <c r="E17" s="5" t="s">
        <v>60</v>
      </c>
      <c r="F17" s="5" t="s">
        <v>61</v>
      </c>
      <c r="G17" s="5" t="s">
        <v>62</v>
      </c>
      <c r="H17" s="5" t="s">
        <v>63</v>
      </c>
      <c r="I17" s="5" t="s">
        <v>33</v>
      </c>
      <c r="J17" s="5" t="s">
        <v>34</v>
      </c>
    </row>
    <row r="18" spans="1:10" x14ac:dyDescent="0.2">
      <c r="A18" s="6" t="s">
        <v>14</v>
      </c>
      <c r="B18" s="8">
        <v>6.1570473461590941E-3</v>
      </c>
      <c r="C18" s="8">
        <v>2.6376381498157998E-2</v>
      </c>
      <c r="D18" s="8">
        <v>0.12796766270978299</v>
      </c>
      <c r="E18" s="8">
        <v>0.20117853731750579</v>
      </c>
      <c r="F18" s="8">
        <v>9.3464319825351336E-3</v>
      </c>
      <c r="G18" s="8">
        <v>0.1781450402510574</v>
      </c>
      <c r="H18" s="8">
        <v>2.6094965206713062E-3</v>
      </c>
      <c r="I18" s="8">
        <v>0.44821940237413022</v>
      </c>
      <c r="J18" s="8">
        <v>1</v>
      </c>
    </row>
    <row r="19" spans="1:10" x14ac:dyDescent="0.2">
      <c r="A19" s="6" t="s">
        <v>16</v>
      </c>
      <c r="B19" s="8">
        <v>2.4556003251076492E-3</v>
      </c>
      <c r="C19" s="8">
        <v>1.5641482352534281E-2</v>
      </c>
      <c r="D19" s="8">
        <v>9.6831929721410415E-2</v>
      </c>
      <c r="E19" s="8">
        <v>0.15397651616027119</v>
      </c>
      <c r="F19" s="8">
        <v>3.752572327805351E-3</v>
      </c>
      <c r="G19" s="8">
        <v>0.18766320231033939</v>
      </c>
      <c r="H19" s="8">
        <v>2.1875594445501241E-3</v>
      </c>
      <c r="I19" s="8">
        <v>0.5374911373579816</v>
      </c>
      <c r="J19" s="8">
        <v>1</v>
      </c>
    </row>
    <row r="20" spans="1:10" x14ac:dyDescent="0.2">
      <c r="A20" s="6" t="s">
        <v>17</v>
      </c>
      <c r="B20" s="8">
        <v>1.060274597699607E-3</v>
      </c>
      <c r="C20" s="8">
        <v>1.8373619294313439E-2</v>
      </c>
      <c r="D20" s="8">
        <v>9.4149700036237238E-2</v>
      </c>
      <c r="E20" s="8">
        <v>0.1409494155068515</v>
      </c>
      <c r="F20" s="8">
        <v>4.0934652189668361E-3</v>
      </c>
      <c r="G20" s="8">
        <v>0.19943899394704001</v>
      </c>
      <c r="H20" s="8">
        <v>2.0668644056422709E-3</v>
      </c>
      <c r="I20" s="8">
        <v>0.53986766699324917</v>
      </c>
      <c r="J20" s="8">
        <v>1</v>
      </c>
    </row>
    <row r="21" spans="1:10" x14ac:dyDescent="0.2">
      <c r="A21" s="6" t="s">
        <v>18</v>
      </c>
      <c r="B21" s="8">
        <v>1.386866375424728E-3</v>
      </c>
      <c r="C21" s="8">
        <v>1.0990916025240971E-2</v>
      </c>
      <c r="D21" s="8">
        <v>0.1039109631786977</v>
      </c>
      <c r="E21" s="8">
        <v>0.16524512863185631</v>
      </c>
      <c r="F21" s="8">
        <v>4.0565841481173294E-3</v>
      </c>
      <c r="G21" s="8">
        <v>0.21978364884543369</v>
      </c>
      <c r="H21" s="8">
        <v>2.3576728382220368E-3</v>
      </c>
      <c r="I21" s="8">
        <v>0.49226821995700709</v>
      </c>
      <c r="J21" s="8">
        <v>1</v>
      </c>
    </row>
    <row r="22" spans="1:10" x14ac:dyDescent="0.2">
      <c r="A22" s="6" t="s">
        <v>20</v>
      </c>
      <c r="B22" s="8">
        <v>9.9708544255253865E-4</v>
      </c>
      <c r="C22" s="8">
        <v>1.000920386562356E-2</v>
      </c>
      <c r="D22" s="8">
        <v>7.1061512501917473E-2</v>
      </c>
      <c r="E22" s="8">
        <v>0.1473768982972849</v>
      </c>
      <c r="F22" s="8">
        <v>6.2126092959042794E-3</v>
      </c>
      <c r="G22" s="8">
        <v>0.2285626629851204</v>
      </c>
      <c r="H22" s="8">
        <v>4.8703788924681704E-3</v>
      </c>
      <c r="I22" s="8">
        <v>0.53090964871912871</v>
      </c>
      <c r="J22" s="8">
        <v>1</v>
      </c>
    </row>
    <row r="23" spans="1:10" x14ac:dyDescent="0.2">
      <c r="A23" s="6" t="s">
        <v>21</v>
      </c>
      <c r="B23" s="8">
        <v>5.0955414012738851E-3</v>
      </c>
      <c r="C23" s="8">
        <v>3.3121019108280247E-2</v>
      </c>
      <c r="D23" s="8">
        <v>0.12356687898089171</v>
      </c>
      <c r="E23" s="8">
        <v>0.1245859872611465</v>
      </c>
      <c r="F23" s="8">
        <v>4.8407643312101912E-3</v>
      </c>
      <c r="G23" s="8">
        <v>0.13324840764331211</v>
      </c>
      <c r="H23" s="8">
        <v>1.528662420382166E-3</v>
      </c>
      <c r="I23" s="8">
        <v>0.57401273885350323</v>
      </c>
      <c r="J23" s="8">
        <v>1</v>
      </c>
    </row>
    <row r="24" spans="1:10" x14ac:dyDescent="0.2">
      <c r="A24" s="6" t="s">
        <v>22</v>
      </c>
      <c r="B24" s="8">
        <v>0</v>
      </c>
      <c r="C24" s="8">
        <v>7.18562874251497E-3</v>
      </c>
      <c r="D24" s="8">
        <v>0.1017964071856287</v>
      </c>
      <c r="E24" s="8">
        <v>0.2383233532934132</v>
      </c>
      <c r="F24" s="8">
        <v>8.3832335329341312E-3</v>
      </c>
      <c r="G24" s="8">
        <v>0.34371257485029938</v>
      </c>
      <c r="H24" s="8">
        <v>1.1976047904191619E-2</v>
      </c>
      <c r="I24" s="8">
        <v>0.28862275449101799</v>
      </c>
      <c r="J24" s="8">
        <v>1</v>
      </c>
    </row>
    <row r="25" spans="1:10" x14ac:dyDescent="0.2">
      <c r="A25" s="6" t="s">
        <v>24</v>
      </c>
      <c r="B25" s="8">
        <v>0</v>
      </c>
      <c r="C25" s="8">
        <v>0</v>
      </c>
      <c r="D25" s="8">
        <v>8.5106382978723402E-2</v>
      </c>
      <c r="E25" s="8">
        <v>0.57446808510638303</v>
      </c>
      <c r="F25" s="8">
        <v>0</v>
      </c>
      <c r="G25" s="8">
        <v>0.19148936170212769</v>
      </c>
      <c r="H25" s="8">
        <v>0</v>
      </c>
      <c r="I25" s="8">
        <v>0.14893617021276601</v>
      </c>
      <c r="J25" s="8">
        <v>1</v>
      </c>
    </row>
    <row r="26" spans="1:10" x14ac:dyDescent="0.2">
      <c r="A26" s="6" t="s">
        <v>25</v>
      </c>
      <c r="B26" s="8">
        <v>0</v>
      </c>
      <c r="C26" s="8">
        <v>0</v>
      </c>
      <c r="D26" s="8">
        <v>0.1</v>
      </c>
      <c r="E26" s="8">
        <v>0.4</v>
      </c>
      <c r="F26" s="8">
        <v>0</v>
      </c>
      <c r="G26" s="8">
        <v>0.2</v>
      </c>
      <c r="H26" s="8">
        <v>0</v>
      </c>
      <c r="I26" s="8">
        <v>0.3</v>
      </c>
      <c r="J26" s="8">
        <v>1</v>
      </c>
    </row>
    <row r="27" spans="1:10" x14ac:dyDescent="0.2">
      <c r="A27" s="6" t="s">
        <v>26</v>
      </c>
      <c r="B27" s="8">
        <v>0</v>
      </c>
      <c r="C27" s="8">
        <v>0</v>
      </c>
      <c r="D27" s="8">
        <v>0</v>
      </c>
      <c r="E27" s="8">
        <v>1</v>
      </c>
      <c r="F27" s="8">
        <v>0</v>
      </c>
      <c r="G27" s="8">
        <v>0</v>
      </c>
      <c r="H27" s="8">
        <v>0</v>
      </c>
      <c r="I27" s="8">
        <v>0</v>
      </c>
      <c r="J27" s="8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0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8" customWidth="1"/>
    <col min="3" max="3" width="26" customWidth="1"/>
    <col min="4" max="4" width="12" customWidth="1"/>
    <col min="5" max="5" width="15" customWidth="1"/>
    <col min="6" max="7" width="12" customWidth="1"/>
    <col min="8" max="8" width="13" customWidth="1"/>
  </cols>
  <sheetData>
    <row r="1" spans="1:8" ht="20" x14ac:dyDescent="0.25">
      <c r="A1" s="1" t="s">
        <v>64</v>
      </c>
    </row>
    <row r="3" spans="1:8" x14ac:dyDescent="0.2">
      <c r="A3" s="5" t="s">
        <v>5</v>
      </c>
      <c r="B3" s="5" t="s">
        <v>6</v>
      </c>
      <c r="C3" s="5" t="s">
        <v>65</v>
      </c>
      <c r="D3" s="5" t="s">
        <v>66</v>
      </c>
      <c r="E3" s="5" t="s">
        <v>8</v>
      </c>
      <c r="F3" s="5" t="s">
        <v>10</v>
      </c>
      <c r="G3" s="5" t="s">
        <v>11</v>
      </c>
      <c r="H3" s="5" t="s">
        <v>12</v>
      </c>
    </row>
    <row r="4" spans="1:8" x14ac:dyDescent="0.2">
      <c r="A4" s="6" t="s">
        <v>14</v>
      </c>
      <c r="B4" s="6" t="s">
        <v>67</v>
      </c>
      <c r="C4" s="6" t="s">
        <v>68</v>
      </c>
      <c r="D4" s="6" t="s">
        <v>69</v>
      </c>
      <c r="E4" s="7">
        <v>39714</v>
      </c>
      <c r="F4" s="7">
        <v>76028</v>
      </c>
      <c r="G4" s="7">
        <v>9802</v>
      </c>
      <c r="H4" s="9">
        <v>917.01</v>
      </c>
    </row>
    <row r="5" spans="1:8" x14ac:dyDescent="0.2">
      <c r="A5" s="6" t="s">
        <v>14</v>
      </c>
      <c r="B5" s="6" t="s">
        <v>67</v>
      </c>
      <c r="C5" s="6" t="s">
        <v>70</v>
      </c>
      <c r="D5" s="6" t="s">
        <v>71</v>
      </c>
      <c r="E5" s="7">
        <v>33235</v>
      </c>
      <c r="F5" s="7">
        <v>66529</v>
      </c>
      <c r="G5" s="7">
        <v>7992</v>
      </c>
      <c r="H5" s="9">
        <v>849.4</v>
      </c>
    </row>
    <row r="6" spans="1:8" x14ac:dyDescent="0.2">
      <c r="A6" s="6" t="s">
        <v>14</v>
      </c>
      <c r="B6" s="6" t="s">
        <v>67</v>
      </c>
      <c r="C6" s="6" t="s">
        <v>72</v>
      </c>
      <c r="D6" s="6" t="s">
        <v>73</v>
      </c>
      <c r="E6" s="7">
        <v>19472</v>
      </c>
      <c r="F6" s="7">
        <v>43712</v>
      </c>
      <c r="G6" s="7">
        <v>4235</v>
      </c>
      <c r="H6" s="9">
        <v>808.01</v>
      </c>
    </row>
    <row r="7" spans="1:8" x14ac:dyDescent="0.2">
      <c r="A7" s="6" t="s">
        <v>14</v>
      </c>
      <c r="B7" s="6" t="s">
        <v>67</v>
      </c>
      <c r="C7" s="6" t="s">
        <v>74</v>
      </c>
      <c r="D7" s="6" t="s">
        <v>75</v>
      </c>
      <c r="E7" s="7">
        <v>18998</v>
      </c>
      <c r="F7" s="7">
        <v>38326</v>
      </c>
      <c r="G7" s="7">
        <v>4501</v>
      </c>
      <c r="H7" s="9">
        <v>835.52</v>
      </c>
    </row>
    <row r="8" spans="1:8" x14ac:dyDescent="0.2">
      <c r="A8" s="6" t="s">
        <v>14</v>
      </c>
      <c r="B8" s="6" t="s">
        <v>67</v>
      </c>
      <c r="C8" s="6" t="s">
        <v>76</v>
      </c>
      <c r="D8" s="6" t="s">
        <v>77</v>
      </c>
      <c r="E8" s="7">
        <v>1075</v>
      </c>
      <c r="F8" s="7">
        <v>2705</v>
      </c>
      <c r="G8" s="7">
        <v>684</v>
      </c>
      <c r="H8" s="9">
        <v>5590</v>
      </c>
    </row>
    <row r="9" spans="1:8" x14ac:dyDescent="0.2">
      <c r="A9" s="6" t="s">
        <v>14</v>
      </c>
      <c r="B9" s="6" t="s">
        <v>67</v>
      </c>
      <c r="C9" s="6" t="s">
        <v>78</v>
      </c>
      <c r="D9" s="6" t="s">
        <v>79</v>
      </c>
      <c r="E9" s="7">
        <v>757</v>
      </c>
      <c r="F9" s="7">
        <v>1575</v>
      </c>
      <c r="G9" s="7">
        <v>441</v>
      </c>
      <c r="H9" s="9">
        <v>2405.37</v>
      </c>
    </row>
    <row r="10" spans="1:8" x14ac:dyDescent="0.2">
      <c r="A10" s="6" t="s">
        <v>14</v>
      </c>
      <c r="B10" s="6" t="s">
        <v>67</v>
      </c>
      <c r="C10" s="6" t="s">
        <v>80</v>
      </c>
      <c r="D10" s="6" t="s">
        <v>81</v>
      </c>
      <c r="E10" s="7">
        <v>708</v>
      </c>
      <c r="F10" s="7">
        <v>1422</v>
      </c>
      <c r="G10" s="7">
        <v>256</v>
      </c>
      <c r="H10" s="9">
        <v>826.63</v>
      </c>
    </row>
    <row r="11" spans="1:8" x14ac:dyDescent="0.2">
      <c r="A11" s="6" t="s">
        <v>14</v>
      </c>
      <c r="B11" s="6" t="s">
        <v>67</v>
      </c>
      <c r="C11" s="6" t="s">
        <v>82</v>
      </c>
      <c r="D11" s="6" t="s">
        <v>83</v>
      </c>
      <c r="E11" s="7">
        <v>673</v>
      </c>
      <c r="F11" s="7">
        <v>1320</v>
      </c>
      <c r="G11" s="7">
        <v>218</v>
      </c>
      <c r="H11" s="9">
        <v>1537.48</v>
      </c>
    </row>
    <row r="12" spans="1:8" x14ac:dyDescent="0.2">
      <c r="A12" s="6" t="s">
        <v>14</v>
      </c>
      <c r="B12" s="6" t="s">
        <v>67</v>
      </c>
      <c r="C12" s="6" t="s">
        <v>84</v>
      </c>
      <c r="D12" s="6" t="s">
        <v>85</v>
      </c>
      <c r="E12" s="7">
        <v>433</v>
      </c>
      <c r="F12" s="7">
        <v>995</v>
      </c>
      <c r="G12" s="7">
        <v>167</v>
      </c>
      <c r="H12" s="9">
        <v>994.53</v>
      </c>
    </row>
    <row r="13" spans="1:8" x14ac:dyDescent="0.2">
      <c r="A13" s="6" t="s">
        <v>14</v>
      </c>
      <c r="B13" s="6" t="s">
        <v>67</v>
      </c>
      <c r="C13" s="6" t="s">
        <v>86</v>
      </c>
      <c r="D13" s="6" t="s">
        <v>87</v>
      </c>
      <c r="E13" s="7">
        <v>361</v>
      </c>
      <c r="F13" s="7">
        <v>738</v>
      </c>
      <c r="G13" s="7">
        <v>192</v>
      </c>
      <c r="H13" s="9">
        <v>1771.85</v>
      </c>
    </row>
    <row r="14" spans="1:8" x14ac:dyDescent="0.2">
      <c r="A14" s="6" t="s">
        <v>14</v>
      </c>
      <c r="B14" s="6" t="s">
        <v>67</v>
      </c>
      <c r="C14" s="6" t="s">
        <v>88</v>
      </c>
      <c r="D14" s="6" t="s">
        <v>89</v>
      </c>
      <c r="E14" s="7">
        <v>288</v>
      </c>
      <c r="F14" s="7">
        <v>571</v>
      </c>
      <c r="G14" s="7">
        <v>93</v>
      </c>
      <c r="H14" s="9">
        <v>1081.3900000000001</v>
      </c>
    </row>
    <row r="15" spans="1:8" x14ac:dyDescent="0.2">
      <c r="A15" s="6" t="s">
        <v>14</v>
      </c>
      <c r="B15" s="6" t="s">
        <v>67</v>
      </c>
      <c r="C15" s="6" t="s">
        <v>90</v>
      </c>
      <c r="D15" s="6" t="s">
        <v>91</v>
      </c>
      <c r="E15" s="7">
        <v>275</v>
      </c>
      <c r="F15" s="7">
        <v>611</v>
      </c>
      <c r="G15" s="7">
        <v>105</v>
      </c>
      <c r="H15" s="9">
        <v>1062.21</v>
      </c>
    </row>
    <row r="16" spans="1:8" x14ac:dyDescent="0.2">
      <c r="A16" s="6" t="s">
        <v>14</v>
      </c>
      <c r="B16" s="6" t="s">
        <v>67</v>
      </c>
      <c r="C16" s="6" t="s">
        <v>92</v>
      </c>
      <c r="D16" s="6" t="s">
        <v>93</v>
      </c>
      <c r="E16" s="7">
        <v>244</v>
      </c>
      <c r="F16" s="7">
        <v>515</v>
      </c>
      <c r="G16" s="7">
        <v>118</v>
      </c>
      <c r="H16" s="9">
        <v>1393.01</v>
      </c>
    </row>
    <row r="17" spans="1:8" x14ac:dyDescent="0.2">
      <c r="A17" s="6" t="s">
        <v>14</v>
      </c>
      <c r="B17" s="6" t="s">
        <v>67</v>
      </c>
      <c r="C17" s="6" t="s">
        <v>94</v>
      </c>
      <c r="D17" s="6" t="s">
        <v>95</v>
      </c>
      <c r="E17" s="7">
        <v>235</v>
      </c>
      <c r="F17" s="7">
        <v>477</v>
      </c>
      <c r="G17" s="7">
        <v>131</v>
      </c>
      <c r="H17" s="9">
        <v>1624.52</v>
      </c>
    </row>
    <row r="18" spans="1:8" x14ac:dyDescent="0.2">
      <c r="A18" s="6" t="s">
        <v>14</v>
      </c>
      <c r="B18" s="6" t="s">
        <v>67</v>
      </c>
      <c r="C18" s="6" t="s">
        <v>96</v>
      </c>
      <c r="D18" s="6" t="s">
        <v>97</v>
      </c>
      <c r="E18" s="7">
        <v>165</v>
      </c>
      <c r="F18" s="7">
        <v>339</v>
      </c>
      <c r="G18" s="7">
        <v>89</v>
      </c>
      <c r="H18" s="9">
        <v>1419.63</v>
      </c>
    </row>
    <row r="19" spans="1:8" x14ac:dyDescent="0.2">
      <c r="A19" s="6" t="s">
        <v>14</v>
      </c>
      <c r="B19" s="6" t="s">
        <v>67</v>
      </c>
      <c r="C19" s="6" t="s">
        <v>98</v>
      </c>
      <c r="D19" s="6" t="s">
        <v>99</v>
      </c>
      <c r="E19" s="7">
        <v>99</v>
      </c>
      <c r="F19" s="7">
        <v>196</v>
      </c>
      <c r="G19" s="7">
        <v>56</v>
      </c>
      <c r="H19" s="9">
        <v>1965.92</v>
      </c>
    </row>
    <row r="20" spans="1:8" x14ac:dyDescent="0.2">
      <c r="A20" s="6" t="s">
        <v>14</v>
      </c>
      <c r="B20" s="6" t="s">
        <v>67</v>
      </c>
      <c r="C20" s="6" t="s">
        <v>100</v>
      </c>
      <c r="D20" s="6" t="s">
        <v>101</v>
      </c>
      <c r="E20" s="7">
        <v>95</v>
      </c>
      <c r="F20" s="7">
        <v>207</v>
      </c>
      <c r="G20" s="7">
        <v>45</v>
      </c>
      <c r="H20" s="9">
        <v>1666.58</v>
      </c>
    </row>
    <row r="21" spans="1:8" x14ac:dyDescent="0.2">
      <c r="A21" s="6" t="s">
        <v>14</v>
      </c>
      <c r="B21" s="6" t="s">
        <v>67</v>
      </c>
      <c r="C21" s="6" t="s">
        <v>102</v>
      </c>
      <c r="D21" s="6" t="s">
        <v>103</v>
      </c>
      <c r="E21" s="7">
        <v>85</v>
      </c>
      <c r="F21" s="7">
        <v>190</v>
      </c>
      <c r="G21" s="7">
        <v>30</v>
      </c>
      <c r="H21" s="9">
        <v>1053.08</v>
      </c>
    </row>
    <row r="22" spans="1:8" x14ac:dyDescent="0.2">
      <c r="A22" s="6" t="s">
        <v>14</v>
      </c>
      <c r="B22" s="6" t="s">
        <v>67</v>
      </c>
      <c r="C22" s="6" t="s">
        <v>104</v>
      </c>
      <c r="D22" s="6" t="s">
        <v>105</v>
      </c>
      <c r="E22" s="7">
        <v>65</v>
      </c>
      <c r="F22" s="7">
        <v>147</v>
      </c>
      <c r="G22" s="7">
        <v>44</v>
      </c>
      <c r="H22" s="9">
        <v>1355.57</v>
      </c>
    </row>
    <row r="23" spans="1:8" x14ac:dyDescent="0.2">
      <c r="A23" s="6" t="s">
        <v>14</v>
      </c>
      <c r="B23" s="6" t="s">
        <v>67</v>
      </c>
      <c r="C23" s="6" t="s">
        <v>106</v>
      </c>
      <c r="D23" s="6" t="s">
        <v>107</v>
      </c>
      <c r="E23" s="7">
        <v>64</v>
      </c>
      <c r="F23" s="7">
        <v>118</v>
      </c>
      <c r="G23" s="7">
        <v>16</v>
      </c>
      <c r="H23" s="9">
        <v>437.12</v>
      </c>
    </row>
    <row r="24" spans="1:8" x14ac:dyDescent="0.2">
      <c r="A24" s="6" t="s">
        <v>14</v>
      </c>
      <c r="B24" s="6" t="s">
        <v>67</v>
      </c>
      <c r="C24" s="6" t="s">
        <v>108</v>
      </c>
      <c r="D24" s="6" t="s">
        <v>109</v>
      </c>
      <c r="E24" s="7">
        <v>54</v>
      </c>
      <c r="F24" s="7">
        <v>134</v>
      </c>
      <c r="G24" s="7">
        <v>18</v>
      </c>
      <c r="H24" s="9">
        <v>719.58</v>
      </c>
    </row>
    <row r="25" spans="1:8" x14ac:dyDescent="0.2">
      <c r="A25" s="6" t="s">
        <v>14</v>
      </c>
      <c r="B25" s="6" t="s">
        <v>67</v>
      </c>
      <c r="C25" s="6" t="s">
        <v>110</v>
      </c>
      <c r="D25" s="6" t="s">
        <v>111</v>
      </c>
      <c r="E25" s="7">
        <v>52</v>
      </c>
      <c r="F25" s="7">
        <v>125</v>
      </c>
      <c r="G25" s="7">
        <v>29</v>
      </c>
      <c r="H25" s="9">
        <v>1047.0899999999999</v>
      </c>
    </row>
    <row r="26" spans="1:8" x14ac:dyDescent="0.2">
      <c r="A26" s="6" t="s">
        <v>14</v>
      </c>
      <c r="B26" s="6" t="s">
        <v>67</v>
      </c>
      <c r="C26" s="6" t="s">
        <v>112</v>
      </c>
      <c r="D26" s="6" t="s">
        <v>113</v>
      </c>
      <c r="E26" s="7">
        <v>45</v>
      </c>
      <c r="F26" s="7">
        <v>106</v>
      </c>
      <c r="G26" s="7">
        <v>21</v>
      </c>
      <c r="H26" s="9">
        <v>1016.31</v>
      </c>
    </row>
    <row r="27" spans="1:8" x14ac:dyDescent="0.2">
      <c r="A27" s="6" t="s">
        <v>14</v>
      </c>
      <c r="B27" s="6" t="s">
        <v>67</v>
      </c>
      <c r="C27" s="6" t="s">
        <v>114</v>
      </c>
      <c r="D27" s="6" t="s">
        <v>115</v>
      </c>
      <c r="E27" s="7">
        <v>35</v>
      </c>
      <c r="F27" s="7">
        <v>69</v>
      </c>
      <c r="G27" s="7">
        <v>18</v>
      </c>
      <c r="H27" s="9">
        <v>3385.92</v>
      </c>
    </row>
    <row r="28" spans="1:8" x14ac:dyDescent="0.2">
      <c r="A28" s="6" t="s">
        <v>14</v>
      </c>
      <c r="B28" s="6" t="s">
        <v>67</v>
      </c>
      <c r="C28" s="6" t="s">
        <v>116</v>
      </c>
      <c r="D28" s="6" t="s">
        <v>117</v>
      </c>
      <c r="E28" s="7">
        <v>22</v>
      </c>
      <c r="F28" s="7">
        <v>36</v>
      </c>
      <c r="G28" s="7">
        <v>8</v>
      </c>
      <c r="H28" s="9">
        <v>865.52</v>
      </c>
    </row>
    <row r="29" spans="1:8" x14ac:dyDescent="0.2">
      <c r="A29" s="6" t="s">
        <v>14</v>
      </c>
      <c r="B29" s="6" t="s">
        <v>67</v>
      </c>
      <c r="C29" s="6" t="s">
        <v>118</v>
      </c>
      <c r="D29" s="6" t="s">
        <v>119</v>
      </c>
      <c r="E29" s="7">
        <v>10</v>
      </c>
      <c r="F29" s="7">
        <v>17</v>
      </c>
      <c r="G29" s="7">
        <v>7</v>
      </c>
      <c r="H29" s="9">
        <v>2569.54</v>
      </c>
    </row>
    <row r="30" spans="1:8" x14ac:dyDescent="0.2">
      <c r="A30" s="6" t="s">
        <v>14</v>
      </c>
      <c r="B30" s="6" t="s">
        <v>67</v>
      </c>
      <c r="C30" s="6" t="s">
        <v>120</v>
      </c>
      <c r="D30" s="6" t="s">
        <v>121</v>
      </c>
      <c r="E30" s="7">
        <v>3</v>
      </c>
      <c r="F30" s="7">
        <v>6</v>
      </c>
      <c r="G30" s="7">
        <v>1</v>
      </c>
      <c r="H30" s="9">
        <v>718.25</v>
      </c>
    </row>
    <row r="31" spans="1:8" x14ac:dyDescent="0.2">
      <c r="A31" s="6" t="s">
        <v>14</v>
      </c>
      <c r="B31" s="6" t="s">
        <v>67</v>
      </c>
      <c r="C31" s="6" t="s">
        <v>122</v>
      </c>
      <c r="D31" s="6" t="s">
        <v>123</v>
      </c>
      <c r="E31" s="7">
        <v>2</v>
      </c>
      <c r="F31" s="7">
        <v>4</v>
      </c>
      <c r="G31" s="7">
        <v>0</v>
      </c>
      <c r="H31" s="9">
        <v>287.7</v>
      </c>
    </row>
    <row r="32" spans="1:8" x14ac:dyDescent="0.2">
      <c r="A32" s="6" t="s">
        <v>14</v>
      </c>
      <c r="B32" s="6" t="s">
        <v>67</v>
      </c>
      <c r="C32" s="6" t="s">
        <v>124</v>
      </c>
      <c r="D32" s="6" t="s">
        <v>125</v>
      </c>
      <c r="E32" s="7">
        <v>0</v>
      </c>
      <c r="F32" s="7">
        <v>0</v>
      </c>
      <c r="G32" s="7">
        <v>0</v>
      </c>
      <c r="H32" s="9">
        <v>0</v>
      </c>
    </row>
    <row r="33" spans="1:8" x14ac:dyDescent="0.2">
      <c r="A33" s="6" t="s">
        <v>14</v>
      </c>
      <c r="B33" s="6" t="s">
        <v>67</v>
      </c>
      <c r="C33" s="6" t="s">
        <v>126</v>
      </c>
      <c r="D33" s="6" t="s">
        <v>127</v>
      </c>
      <c r="E33" s="7">
        <v>0</v>
      </c>
      <c r="F33" s="7">
        <v>0</v>
      </c>
      <c r="G33" s="7">
        <v>0</v>
      </c>
      <c r="H33" s="9">
        <v>0</v>
      </c>
    </row>
    <row r="34" spans="1:8" x14ac:dyDescent="0.2">
      <c r="A34" s="6" t="s">
        <v>16</v>
      </c>
      <c r="B34" s="6" t="s">
        <v>67</v>
      </c>
      <c r="C34" s="6" t="s">
        <v>128</v>
      </c>
      <c r="D34" s="6" t="s">
        <v>129</v>
      </c>
      <c r="E34" s="7">
        <v>26430</v>
      </c>
      <c r="F34" s="7">
        <v>48160</v>
      </c>
      <c r="G34" s="7">
        <v>5571</v>
      </c>
      <c r="H34" s="9">
        <v>907.13</v>
      </c>
    </row>
    <row r="35" spans="1:8" x14ac:dyDescent="0.2">
      <c r="A35" s="6" t="s">
        <v>16</v>
      </c>
      <c r="B35" s="6" t="s">
        <v>67</v>
      </c>
      <c r="C35" s="6" t="s">
        <v>130</v>
      </c>
      <c r="D35" s="6" t="s">
        <v>131</v>
      </c>
      <c r="E35" s="7">
        <v>25980</v>
      </c>
      <c r="F35" s="7">
        <v>47930</v>
      </c>
      <c r="G35" s="7">
        <v>5304</v>
      </c>
      <c r="H35" s="9">
        <v>886.41</v>
      </c>
    </row>
    <row r="36" spans="1:8" x14ac:dyDescent="0.2">
      <c r="A36" s="6" t="s">
        <v>16</v>
      </c>
      <c r="B36" s="6" t="s">
        <v>67</v>
      </c>
      <c r="C36" s="6" t="s">
        <v>132</v>
      </c>
      <c r="D36" s="6" t="s">
        <v>133</v>
      </c>
      <c r="E36" s="7">
        <v>19383</v>
      </c>
      <c r="F36" s="7">
        <v>30899</v>
      </c>
      <c r="G36" s="7">
        <v>4791</v>
      </c>
      <c r="H36" s="9">
        <v>998.31</v>
      </c>
    </row>
    <row r="37" spans="1:8" x14ac:dyDescent="0.2">
      <c r="A37" s="6" t="s">
        <v>16</v>
      </c>
      <c r="B37" s="6" t="s">
        <v>67</v>
      </c>
      <c r="C37" s="6" t="s">
        <v>134</v>
      </c>
      <c r="D37" s="6" t="s">
        <v>135</v>
      </c>
      <c r="E37" s="7">
        <v>19346</v>
      </c>
      <c r="F37" s="7">
        <v>37059</v>
      </c>
      <c r="G37" s="7">
        <v>3352</v>
      </c>
      <c r="H37" s="9">
        <v>653.42999999999995</v>
      </c>
    </row>
    <row r="38" spans="1:8" x14ac:dyDescent="0.2">
      <c r="A38" s="6" t="s">
        <v>16</v>
      </c>
      <c r="B38" s="6" t="s">
        <v>67</v>
      </c>
      <c r="C38" s="6" t="s">
        <v>136</v>
      </c>
      <c r="D38" s="6" t="s">
        <v>137</v>
      </c>
      <c r="E38" s="7">
        <v>19049</v>
      </c>
      <c r="F38" s="7">
        <v>29967</v>
      </c>
      <c r="G38" s="7">
        <v>4042</v>
      </c>
      <c r="H38" s="9">
        <v>984.84</v>
      </c>
    </row>
    <row r="39" spans="1:8" x14ac:dyDescent="0.2">
      <c r="A39" s="6" t="s">
        <v>16</v>
      </c>
      <c r="B39" s="6" t="s">
        <v>67</v>
      </c>
      <c r="C39" s="6" t="s">
        <v>138</v>
      </c>
      <c r="D39" s="6" t="s">
        <v>139</v>
      </c>
      <c r="E39" s="7">
        <v>3316</v>
      </c>
      <c r="F39" s="7">
        <v>4776</v>
      </c>
      <c r="G39" s="7">
        <v>527</v>
      </c>
      <c r="H39" s="9">
        <v>800.26</v>
      </c>
    </row>
    <row r="40" spans="1:8" x14ac:dyDescent="0.2">
      <c r="A40" s="6" t="s">
        <v>16</v>
      </c>
      <c r="B40" s="6" t="s">
        <v>67</v>
      </c>
      <c r="C40" s="6" t="s">
        <v>140</v>
      </c>
      <c r="D40" s="6" t="s">
        <v>141</v>
      </c>
      <c r="E40" s="7">
        <v>851</v>
      </c>
      <c r="F40" s="7">
        <v>1410</v>
      </c>
      <c r="G40" s="7">
        <v>134</v>
      </c>
      <c r="H40" s="9">
        <v>1034.0999999999999</v>
      </c>
    </row>
    <row r="41" spans="1:8" x14ac:dyDescent="0.2">
      <c r="A41" s="6" t="s">
        <v>16</v>
      </c>
      <c r="B41" s="6" t="s">
        <v>67</v>
      </c>
      <c r="C41" s="6" t="s">
        <v>142</v>
      </c>
      <c r="D41" s="6" t="s">
        <v>143</v>
      </c>
      <c r="E41" s="7">
        <v>649</v>
      </c>
      <c r="F41" s="7">
        <v>1243</v>
      </c>
      <c r="G41" s="7">
        <v>345</v>
      </c>
      <c r="H41" s="9">
        <v>2286.7800000000002</v>
      </c>
    </row>
    <row r="42" spans="1:8" x14ac:dyDescent="0.2">
      <c r="A42" s="6" t="s">
        <v>16</v>
      </c>
      <c r="B42" s="6" t="s">
        <v>67</v>
      </c>
      <c r="C42" s="6" t="s">
        <v>144</v>
      </c>
      <c r="D42" s="6" t="s">
        <v>145</v>
      </c>
      <c r="E42" s="7">
        <v>249</v>
      </c>
      <c r="F42" s="7">
        <v>470</v>
      </c>
      <c r="G42" s="7">
        <v>91</v>
      </c>
      <c r="H42" s="9">
        <v>1418.36</v>
      </c>
    </row>
    <row r="43" spans="1:8" x14ac:dyDescent="0.2">
      <c r="A43" s="6" t="s">
        <v>16</v>
      </c>
      <c r="B43" s="6" t="s">
        <v>67</v>
      </c>
      <c r="C43" s="6" t="s">
        <v>146</v>
      </c>
      <c r="D43" s="6" t="s">
        <v>147</v>
      </c>
      <c r="E43" s="7">
        <v>150</v>
      </c>
      <c r="F43" s="7">
        <v>251</v>
      </c>
      <c r="G43" s="7">
        <v>51</v>
      </c>
      <c r="H43" s="9">
        <v>799.01</v>
      </c>
    </row>
    <row r="44" spans="1:8" x14ac:dyDescent="0.2">
      <c r="A44" s="6" t="s">
        <v>16</v>
      </c>
      <c r="B44" s="6" t="s">
        <v>67</v>
      </c>
      <c r="C44" s="6" t="s">
        <v>148</v>
      </c>
      <c r="D44" s="6" t="s">
        <v>149</v>
      </c>
      <c r="E44" s="7">
        <v>122</v>
      </c>
      <c r="F44" s="7">
        <v>225</v>
      </c>
      <c r="G44" s="7">
        <v>32</v>
      </c>
      <c r="H44" s="9">
        <v>1151.3499999999999</v>
      </c>
    </row>
    <row r="45" spans="1:8" x14ac:dyDescent="0.2">
      <c r="A45" s="6" t="s">
        <v>16</v>
      </c>
      <c r="B45" s="6" t="s">
        <v>67</v>
      </c>
      <c r="C45" s="6" t="s">
        <v>150</v>
      </c>
      <c r="D45" s="6" t="s">
        <v>151</v>
      </c>
      <c r="E45" s="7">
        <v>44</v>
      </c>
      <c r="F45" s="7">
        <v>86</v>
      </c>
      <c r="G45" s="7">
        <v>12</v>
      </c>
      <c r="H45" s="9">
        <v>857.21</v>
      </c>
    </row>
    <row r="46" spans="1:8" x14ac:dyDescent="0.2">
      <c r="A46" s="6" t="s">
        <v>16</v>
      </c>
      <c r="B46" s="6" t="s">
        <v>67</v>
      </c>
      <c r="C46" s="6" t="s">
        <v>152</v>
      </c>
      <c r="D46" s="6" t="s">
        <v>153</v>
      </c>
      <c r="E46" s="7">
        <v>35</v>
      </c>
      <c r="F46" s="7">
        <v>57</v>
      </c>
      <c r="G46" s="7">
        <v>6</v>
      </c>
      <c r="H46" s="9">
        <v>978.66</v>
      </c>
    </row>
    <row r="47" spans="1:8" x14ac:dyDescent="0.2">
      <c r="A47" s="6" t="s">
        <v>16</v>
      </c>
      <c r="B47" s="6" t="s">
        <v>67</v>
      </c>
      <c r="C47" s="6" t="s">
        <v>154</v>
      </c>
      <c r="D47" s="6" t="s">
        <v>155</v>
      </c>
      <c r="E47" s="7">
        <v>27</v>
      </c>
      <c r="F47" s="7">
        <v>56</v>
      </c>
      <c r="G47" s="7">
        <v>12</v>
      </c>
      <c r="H47" s="9">
        <v>1368.37</v>
      </c>
    </row>
    <row r="48" spans="1:8" x14ac:dyDescent="0.2">
      <c r="A48" s="6" t="s">
        <v>16</v>
      </c>
      <c r="B48" s="6" t="s">
        <v>67</v>
      </c>
      <c r="C48" s="6" t="s">
        <v>156</v>
      </c>
      <c r="D48" s="6" t="s">
        <v>157</v>
      </c>
      <c r="E48" s="7">
        <v>17</v>
      </c>
      <c r="F48" s="7">
        <v>38</v>
      </c>
      <c r="G48" s="7">
        <v>7</v>
      </c>
      <c r="H48" s="9">
        <v>1519.03</v>
      </c>
    </row>
    <row r="49" spans="1:8" x14ac:dyDescent="0.2">
      <c r="A49" s="6" t="s">
        <v>16</v>
      </c>
      <c r="B49" s="6" t="s">
        <v>67</v>
      </c>
      <c r="C49" s="6" t="s">
        <v>158</v>
      </c>
      <c r="D49" s="6" t="s">
        <v>159</v>
      </c>
      <c r="E49" s="7">
        <v>6</v>
      </c>
      <c r="F49" s="7">
        <v>10</v>
      </c>
      <c r="G49" s="7">
        <v>1</v>
      </c>
      <c r="H49" s="9">
        <v>525.27</v>
      </c>
    </row>
    <row r="50" spans="1:8" x14ac:dyDescent="0.2">
      <c r="A50" s="6" t="s">
        <v>17</v>
      </c>
      <c r="B50" s="6" t="s">
        <v>67</v>
      </c>
      <c r="C50" s="6" t="s">
        <v>160</v>
      </c>
      <c r="D50" s="6" t="s">
        <v>161</v>
      </c>
      <c r="E50" s="7">
        <v>28784</v>
      </c>
      <c r="F50" s="7">
        <v>58649</v>
      </c>
      <c r="G50" s="7">
        <v>7070</v>
      </c>
      <c r="H50" s="9">
        <v>937.11</v>
      </c>
    </row>
    <row r="51" spans="1:8" x14ac:dyDescent="0.2">
      <c r="A51" s="6" t="s">
        <v>17</v>
      </c>
      <c r="B51" s="6" t="s">
        <v>67</v>
      </c>
      <c r="C51" s="6" t="s">
        <v>162</v>
      </c>
      <c r="D51" s="6" t="s">
        <v>163</v>
      </c>
      <c r="E51" s="7">
        <v>27066</v>
      </c>
      <c r="F51" s="7">
        <v>46046</v>
      </c>
      <c r="G51" s="7">
        <v>5515</v>
      </c>
      <c r="H51" s="9">
        <v>853.49</v>
      </c>
    </row>
    <row r="52" spans="1:8" x14ac:dyDescent="0.2">
      <c r="A52" s="6" t="s">
        <v>17</v>
      </c>
      <c r="B52" s="6" t="s">
        <v>67</v>
      </c>
      <c r="C52" s="6" t="s">
        <v>164</v>
      </c>
      <c r="D52" s="6" t="s">
        <v>165</v>
      </c>
      <c r="E52" s="7">
        <v>18659</v>
      </c>
      <c r="F52" s="7">
        <v>30605</v>
      </c>
      <c r="G52" s="7">
        <v>3416</v>
      </c>
      <c r="H52" s="9">
        <v>823.84</v>
      </c>
    </row>
    <row r="53" spans="1:8" x14ac:dyDescent="0.2">
      <c r="A53" s="6" t="s">
        <v>18</v>
      </c>
      <c r="B53" s="6" t="s">
        <v>166</v>
      </c>
      <c r="C53" s="6" t="s">
        <v>167</v>
      </c>
      <c r="D53" s="6" t="s">
        <v>168</v>
      </c>
      <c r="E53" s="7">
        <v>28685</v>
      </c>
      <c r="F53" s="7">
        <v>58648</v>
      </c>
      <c r="G53" s="7">
        <v>7435</v>
      </c>
      <c r="H53" s="9">
        <v>907.1</v>
      </c>
    </row>
    <row r="54" spans="1:8" x14ac:dyDescent="0.2">
      <c r="A54" s="6" t="s">
        <v>18</v>
      </c>
      <c r="B54" s="6" t="s">
        <v>166</v>
      </c>
      <c r="C54" s="6" t="s">
        <v>169</v>
      </c>
      <c r="D54" s="6" t="s">
        <v>170</v>
      </c>
      <c r="E54" s="7">
        <v>157</v>
      </c>
      <c r="F54" s="7">
        <v>365</v>
      </c>
      <c r="G54" s="7">
        <v>55</v>
      </c>
      <c r="H54" s="9">
        <v>679.94</v>
      </c>
    </row>
    <row r="55" spans="1:8" x14ac:dyDescent="0.2">
      <c r="A55" s="6" t="s">
        <v>20</v>
      </c>
      <c r="B55" s="6" t="s">
        <v>166</v>
      </c>
      <c r="C55" s="6" t="s">
        <v>171</v>
      </c>
      <c r="D55" s="6" t="s">
        <v>172</v>
      </c>
      <c r="E55" s="7">
        <v>25637</v>
      </c>
      <c r="F55" s="7">
        <v>44471</v>
      </c>
      <c r="G55" s="7">
        <v>6399</v>
      </c>
      <c r="H55" s="9">
        <v>1040.6500000000001</v>
      </c>
    </row>
    <row r="56" spans="1:8" x14ac:dyDescent="0.2">
      <c r="A56" s="6" t="s">
        <v>20</v>
      </c>
      <c r="B56" s="6" t="s">
        <v>166</v>
      </c>
      <c r="C56" s="6" t="s">
        <v>173</v>
      </c>
      <c r="D56" s="6" t="s">
        <v>174</v>
      </c>
      <c r="E56" s="7">
        <v>410</v>
      </c>
      <c r="F56" s="7">
        <v>660</v>
      </c>
      <c r="G56" s="7">
        <v>98</v>
      </c>
      <c r="H56" s="9">
        <v>898.06</v>
      </c>
    </row>
    <row r="57" spans="1:8" x14ac:dyDescent="0.2">
      <c r="A57" s="6" t="s">
        <v>20</v>
      </c>
      <c r="B57" s="6" t="s">
        <v>166</v>
      </c>
      <c r="C57" s="6" t="s">
        <v>175</v>
      </c>
      <c r="D57" s="6" t="s">
        <v>176</v>
      </c>
      <c r="E57" s="7">
        <v>29</v>
      </c>
      <c r="F57" s="7">
        <v>37</v>
      </c>
      <c r="G57" s="7">
        <v>7</v>
      </c>
      <c r="H57" s="9">
        <v>815.67</v>
      </c>
    </row>
    <row r="58" spans="1:8" x14ac:dyDescent="0.2">
      <c r="A58" s="6" t="s">
        <v>21</v>
      </c>
      <c r="B58" s="6" t="s">
        <v>166</v>
      </c>
      <c r="C58" s="6" t="s">
        <v>177</v>
      </c>
      <c r="D58" s="6" t="s">
        <v>178</v>
      </c>
      <c r="E58" s="7">
        <v>3902</v>
      </c>
      <c r="F58" s="7">
        <v>6146</v>
      </c>
      <c r="G58" s="7">
        <v>689</v>
      </c>
      <c r="H58" s="9">
        <v>701.44</v>
      </c>
    </row>
    <row r="59" spans="1:8" x14ac:dyDescent="0.2">
      <c r="A59" s="6" t="s">
        <v>21</v>
      </c>
      <c r="B59" s="6" t="s">
        <v>166</v>
      </c>
      <c r="C59" s="6" t="s">
        <v>179</v>
      </c>
      <c r="D59" s="6" t="s">
        <v>180</v>
      </c>
      <c r="E59" s="7">
        <v>10</v>
      </c>
      <c r="F59" s="7">
        <v>26</v>
      </c>
      <c r="G59" s="7">
        <v>5</v>
      </c>
      <c r="H59" s="9">
        <v>978.21</v>
      </c>
    </row>
    <row r="60" spans="1:8" x14ac:dyDescent="0.2">
      <c r="A60" s="6" t="s">
        <v>21</v>
      </c>
      <c r="B60" s="6" t="s">
        <v>166</v>
      </c>
      <c r="C60" s="6" t="s">
        <v>181</v>
      </c>
      <c r="D60" s="6" t="s">
        <v>182</v>
      </c>
      <c r="E60" s="7">
        <v>7</v>
      </c>
      <c r="F60" s="7">
        <v>21</v>
      </c>
      <c r="G60" s="7">
        <v>4</v>
      </c>
      <c r="H60" s="9">
        <v>2291.63</v>
      </c>
    </row>
    <row r="61" spans="1:8" x14ac:dyDescent="0.2">
      <c r="A61" s="6" t="s">
        <v>21</v>
      </c>
      <c r="B61" s="6" t="s">
        <v>166</v>
      </c>
      <c r="C61" s="6" t="s">
        <v>183</v>
      </c>
      <c r="D61" s="6" t="s">
        <v>184</v>
      </c>
      <c r="E61" s="7">
        <v>6</v>
      </c>
      <c r="F61" s="7">
        <v>22</v>
      </c>
      <c r="G61" s="7">
        <v>2</v>
      </c>
      <c r="H61" s="9">
        <v>486.23</v>
      </c>
    </row>
    <row r="62" spans="1:8" x14ac:dyDescent="0.2">
      <c r="A62" s="6" t="s">
        <v>21</v>
      </c>
      <c r="B62" s="6" t="s">
        <v>166</v>
      </c>
      <c r="C62" s="6" t="s">
        <v>185</v>
      </c>
      <c r="D62" s="6" t="s">
        <v>186</v>
      </c>
      <c r="E62" s="7">
        <v>0</v>
      </c>
      <c r="F62" s="7">
        <v>0</v>
      </c>
      <c r="G62" s="7">
        <v>0</v>
      </c>
      <c r="H62" s="9">
        <v>0</v>
      </c>
    </row>
    <row r="63" spans="1:8" x14ac:dyDescent="0.2">
      <c r="A63" s="6" t="s">
        <v>22</v>
      </c>
      <c r="B63" s="6" t="s">
        <v>187</v>
      </c>
      <c r="C63" s="6" t="s">
        <v>188</v>
      </c>
      <c r="D63" s="6" t="s">
        <v>189</v>
      </c>
      <c r="E63" s="7">
        <v>522</v>
      </c>
      <c r="F63" s="7">
        <v>1117</v>
      </c>
      <c r="G63" s="7">
        <v>227</v>
      </c>
      <c r="H63" s="9">
        <v>1220.44</v>
      </c>
    </row>
    <row r="64" spans="1:8" x14ac:dyDescent="0.2">
      <c r="A64" s="6" t="s">
        <v>22</v>
      </c>
      <c r="B64" s="6" t="s">
        <v>187</v>
      </c>
      <c r="C64" s="6" t="s">
        <v>190</v>
      </c>
      <c r="D64" s="6" t="s">
        <v>191</v>
      </c>
      <c r="E64" s="7">
        <v>188</v>
      </c>
      <c r="F64" s="7">
        <v>391</v>
      </c>
      <c r="G64" s="7">
        <v>122</v>
      </c>
      <c r="H64" s="9">
        <v>2173.91</v>
      </c>
    </row>
    <row r="65" spans="1:8" x14ac:dyDescent="0.2">
      <c r="A65" s="6" t="s">
        <v>22</v>
      </c>
      <c r="B65" s="6" t="s">
        <v>187</v>
      </c>
      <c r="C65" s="6" t="s">
        <v>192</v>
      </c>
      <c r="D65" s="6" t="s">
        <v>193</v>
      </c>
      <c r="E65" s="7">
        <v>124</v>
      </c>
      <c r="F65" s="7">
        <v>185</v>
      </c>
      <c r="G65" s="7">
        <v>31</v>
      </c>
      <c r="H65" s="9">
        <v>654.24</v>
      </c>
    </row>
    <row r="66" spans="1:8" x14ac:dyDescent="0.2">
      <c r="A66" s="6" t="s">
        <v>22</v>
      </c>
      <c r="B66" s="6" t="s">
        <v>187</v>
      </c>
      <c r="C66" s="6" t="s">
        <v>194</v>
      </c>
      <c r="D66" s="6" t="s">
        <v>195</v>
      </c>
      <c r="E66" s="7">
        <v>1</v>
      </c>
      <c r="F66" s="7">
        <v>1</v>
      </c>
      <c r="G66" s="7">
        <v>0</v>
      </c>
      <c r="H66" s="9">
        <v>775.69</v>
      </c>
    </row>
    <row r="67" spans="1:8" x14ac:dyDescent="0.2">
      <c r="A67" s="6" t="s">
        <v>22</v>
      </c>
      <c r="B67" s="6" t="s">
        <v>187</v>
      </c>
      <c r="C67" s="6" t="s">
        <v>196</v>
      </c>
      <c r="D67" s="6" t="s">
        <v>189</v>
      </c>
      <c r="E67" s="7">
        <v>0</v>
      </c>
      <c r="F67" s="7">
        <v>1117</v>
      </c>
      <c r="G67" s="7">
        <v>0</v>
      </c>
      <c r="H67" s="9">
        <v>0</v>
      </c>
    </row>
    <row r="68" spans="1:8" x14ac:dyDescent="0.2">
      <c r="A68" s="6" t="s">
        <v>24</v>
      </c>
      <c r="B68" s="6" t="s">
        <v>67</v>
      </c>
      <c r="C68" s="6" t="s">
        <v>197</v>
      </c>
      <c r="D68" s="6" t="s">
        <v>198</v>
      </c>
      <c r="E68" s="7">
        <v>47</v>
      </c>
      <c r="F68" s="7">
        <v>97</v>
      </c>
      <c r="G68" s="7">
        <v>24</v>
      </c>
      <c r="H68" s="9">
        <v>1063.22</v>
      </c>
    </row>
    <row r="69" spans="1:8" x14ac:dyDescent="0.2">
      <c r="A69" s="6" t="s">
        <v>25</v>
      </c>
      <c r="B69" s="6" t="s">
        <v>67</v>
      </c>
      <c r="C69" s="6" t="s">
        <v>199</v>
      </c>
      <c r="D69" s="6" t="s">
        <v>200</v>
      </c>
      <c r="E69" s="7">
        <v>20</v>
      </c>
      <c r="F69" s="7">
        <v>35</v>
      </c>
      <c r="G69" s="7">
        <v>9</v>
      </c>
      <c r="H69" s="9">
        <v>1083.67</v>
      </c>
    </row>
    <row r="70" spans="1:8" x14ac:dyDescent="0.2">
      <c r="A70" s="6" t="s">
        <v>26</v>
      </c>
      <c r="B70" s="6" t="s">
        <v>166</v>
      </c>
      <c r="C70" s="6" t="s">
        <v>201</v>
      </c>
      <c r="D70" s="6" t="s">
        <v>202</v>
      </c>
      <c r="E70" s="7">
        <v>1</v>
      </c>
      <c r="F70" s="7">
        <v>2</v>
      </c>
      <c r="G70" s="7">
        <v>1</v>
      </c>
      <c r="H70" s="9">
        <v>821.58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Visão Geral</vt:lpstr>
      <vt:lpstr>Por Estado</vt:lpstr>
      <vt:lpstr>Gênero</vt:lpstr>
      <vt:lpstr>Faixa Etária</vt:lpstr>
      <vt:lpstr>Faixa de Renda</vt:lpstr>
      <vt:lpstr>Classe Social</vt:lpstr>
      <vt:lpstr>Escolaridade</vt:lpstr>
      <vt:lpstr>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Leandro Rodeiro</cp:lastModifiedBy>
  <dcterms:created xsi:type="dcterms:W3CDTF">2026-07-10T20:54:27Z</dcterms:created>
  <dcterms:modified xsi:type="dcterms:W3CDTF">2026-07-10T23:30:53Z</dcterms:modified>
</cp:coreProperties>
</file>